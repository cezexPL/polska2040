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ssumptions" sheetId="2" r:id="rId2"/>
    <sheet name="Commitments" sheetId="3" r:id="rId3"/>
    <sheet name="Cost model" sheetId="4" r:id="rId4"/>
    <sheet name="Funding map" sheetId="5" r:id="rId5"/>
    <sheet name="Impact logic" sheetId="6" r:id="rId6"/>
    <sheet name="Sensitivity" sheetId="7" r:id="rId7"/>
    <sheet name="KPI" sheetId="8" r:id="rId8"/>
  </sheets>
  <definedNames>
    <definedName name="_xlnm._FilterDatabase" localSheetId="1" hidden="1">Assumptions!$A$1:$N$100</definedName>
    <definedName name="_xlnm._FilterDatabase" localSheetId="2" hidden="1">Commitments!$A$1:$O$200</definedName>
  </definedNames>
  <calcPr calcId="124519" fullCalcOnLoad="1"/>
</workbook>
</file>

<file path=xl/sharedStrings.xml><?xml version="1.0" encoding="utf-8"?>
<sst xmlns="http://schemas.openxmlformats.org/spreadsheetml/2006/main" count="811" uniqueCount="291">
  <si>
    <t>Polska 2040 — model finansowy v0.1</t>
  </si>
  <si>
    <t>Niezależny draft — nie jest prognozą budżetową ani ofertą inwestycyjną</t>
  </si>
  <si>
    <t>Zasada nadrzędna</t>
  </si>
  <si>
    <t>Wartość brakująca nie jest zerem. Status UNKNOWN pozostaje widoczny, a formuły nie zwracają sumy, dopóki wymagany składnik jest nieznany.</t>
  </si>
  <si>
    <t>Jednostka kosztowa</t>
  </si>
  <si>
    <t>mln PLN w cenach roku bazowego wskazanego przy każdym założeniu; waluta źródłowa i kurs mają osobne rekordy.</t>
  </si>
  <si>
    <t>Scenariusze</t>
  </si>
  <si>
    <t>L — integracja niskokosztowa; B — portfel bazowy; H — przyspieszona mobilizacja. To warianty decyzji, nie przedziały ufności.</t>
  </si>
  <si>
    <t>Kolor niebieski</t>
  </si>
  <si>
    <t>Komórka wejściowa do uzupełnienia wyłącznie po wpisaniu źródła/claimu, statusu, właściciela i daty ważności.</t>
  </si>
  <si>
    <t>Kolor żółty</t>
  </si>
  <si>
    <t>UNKNOWN albo wymagany plan pozyskania; nie zastępować wartością modelową bez decyzji o założeniu.</t>
  </si>
  <si>
    <t>Źródła</t>
  </si>
  <si>
    <t>Każde wejście wskazuje CLM-####, SRC-#### albo identyfikator zatwierdzonej decyzji/założenia. Arkusz nie jest samodzielnym źródłem faktu.</t>
  </si>
  <si>
    <t>Podwójne finansowanie</t>
  </si>
  <si>
    <t>Ten sam koszt ma jeden Cost ID. Legalne współfinansowanie ujawnia udziały; dwóch instrumentów nie wolno liczyć jako dwóch rezultatów.</t>
  </si>
  <si>
    <t>Wynik</t>
  </si>
  <si>
    <t>Model pokazuje zobowiązania, płatności, ekspozycje warunkowe, TCO, dodatkowość, wpływ i wrażliwość. Publikacja wymaga niezależnej walidacji.</t>
  </si>
  <si>
    <t>ID</t>
  </si>
  <si>
    <t>Cost ID</t>
  </si>
  <si>
    <t>Parametr / założenie</t>
  </si>
  <si>
    <t>Status</t>
  </si>
  <si>
    <t>L</t>
  </si>
  <si>
    <t>B</t>
  </si>
  <si>
    <t>H</t>
  </si>
  <si>
    <t>Jednostka</t>
  </si>
  <si>
    <t>Rok cen</t>
  </si>
  <si>
    <t>Claim / źródło</t>
  </si>
  <si>
    <t>Właściciel</t>
  </si>
  <si>
    <t>Ważne do</t>
  </si>
  <si>
    <t>Wrażliwość</t>
  </si>
  <si>
    <t>Plan pozyskania / uwagi</t>
  </si>
  <si>
    <t>ASM-001</t>
  </si>
  <si>
    <t>C01</t>
  </si>
  <si>
    <t>Przyrostowy koszt governance i ewaluacji</t>
  </si>
  <si>
    <t>UNKNOWN</t>
  </si>
  <si>
    <t>mln PLN</t>
  </si>
  <si>
    <t>do wskazania</t>
  </si>
  <si>
    <t>do oceny</t>
  </si>
  <si>
    <t>Wymagany audyt bazowy i zatwierdzone założenie.</t>
  </si>
  <si>
    <t>ASM-002</t>
  </si>
  <si>
    <t>C02</t>
  </si>
  <si>
    <t>Koszt katalogu problemów, testów i małych partii</t>
  </si>
  <si>
    <t>ASM-003</t>
  </si>
  <si>
    <t>C03</t>
  </si>
  <si>
    <t>Koszt przestrzeni danych, AI i obliczeń</t>
  </si>
  <si>
    <t>ASM-004</t>
  </si>
  <si>
    <t>C04</t>
  </si>
  <si>
    <t>Koszt cyber i bezpiecznego cyklu software</t>
  </si>
  <si>
    <t>ASM-005</t>
  </si>
  <si>
    <t>C05</t>
  </si>
  <si>
    <t>Przyrostowy CAPEX przemysłowy i komponentowy</t>
  </si>
  <si>
    <t>ASM-006</t>
  </si>
  <si>
    <t>C06</t>
  </si>
  <si>
    <t>Koszt serwisu, logistyki, części i utylizacji</t>
  </si>
  <si>
    <t>ASM-007</t>
  </si>
  <si>
    <t>C07</t>
  </si>
  <si>
    <t>Koszt kadr, praktyk i programów kompetencji</t>
  </si>
  <si>
    <t>ASM-008</t>
  </si>
  <si>
    <t>C08</t>
  </si>
  <si>
    <t>Koszt partnerstw, IP, due diligence i certyfikacji</t>
  </si>
  <si>
    <t>ASM-009</t>
  </si>
  <si>
    <t>C09</t>
  </si>
  <si>
    <t>Koszt pilotaży regionalnych i cywilnych</t>
  </si>
  <si>
    <t>ASM-010</t>
  </si>
  <si>
    <t>C10</t>
  </si>
  <si>
    <t>Koszt instrumentów eksportu i obsługi rynków</t>
  </si>
  <si>
    <t>ASM-011</t>
  </si>
  <si>
    <t>X01</t>
  </si>
  <si>
    <t>Istniejące zobowiązania w zakresie programu</t>
  </si>
  <si>
    <t>ASM-012</t>
  </si>
  <si>
    <t>X02</t>
  </si>
  <si>
    <t>Koszt obsługi finansowania pożyczkowego</t>
  </si>
  <si>
    <t>ASM-013</t>
  </si>
  <si>
    <t>X03</t>
  </si>
  <si>
    <t>Ekspozycja warunkowa gwarancji</t>
  </si>
  <si>
    <t>ASM-014</t>
  </si>
  <si>
    <t>X04</t>
  </si>
  <si>
    <t>Koszt zakończenia lub migracji</t>
  </si>
  <si>
    <t>ASM-015</t>
  </si>
  <si>
    <t>X05</t>
  </si>
  <si>
    <t>Udział kosztów dodatkowych względem bazowej aktywności</t>
  </si>
  <si>
    <t>Project ID</t>
  </si>
  <si>
    <t>Opis kosztu</t>
  </si>
  <si>
    <t>Instrument</t>
  </si>
  <si>
    <t>Rok zobowiązania</t>
  </si>
  <si>
    <t>Rok płatności</t>
  </si>
  <si>
    <t>Kwota mln PLN</t>
  </si>
  <si>
    <t>Udział krajowy</t>
  </si>
  <si>
    <t>Udział UE/inny</t>
  </si>
  <si>
    <t>Waluta źródłowa</t>
  </si>
  <si>
    <t>Dodatkowość</t>
  </si>
  <si>
    <t>Ryzyko kolizji</t>
  </si>
  <si>
    <t>Uwagi / sposób rozstrzygnięcia</t>
  </si>
  <si>
    <t>COST-001</t>
  </si>
  <si>
    <t>do przypisania</t>
  </si>
  <si>
    <t>PLN</t>
  </si>
  <si>
    <t>COST-002</t>
  </si>
  <si>
    <t>COST-003</t>
  </si>
  <si>
    <t>COST-004</t>
  </si>
  <si>
    <t>COST-005</t>
  </si>
  <si>
    <t>COST-006</t>
  </si>
  <si>
    <t>COST-007</t>
  </si>
  <si>
    <t>COST-008</t>
  </si>
  <si>
    <t>COST-009</t>
  </si>
  <si>
    <t>COST-010</t>
  </si>
  <si>
    <t>COST-011</t>
  </si>
  <si>
    <t>COST-012</t>
  </si>
  <si>
    <t>COST-013</t>
  </si>
  <si>
    <t>COST-014</t>
  </si>
  <si>
    <t>COST-015</t>
  </si>
  <si>
    <t>COST-016</t>
  </si>
  <si>
    <t>COST-017</t>
  </si>
  <si>
    <t>COST-018</t>
  </si>
  <si>
    <t>COST-019</t>
  </si>
  <si>
    <t>COST-020</t>
  </si>
  <si>
    <t>COST-021</t>
  </si>
  <si>
    <t>COST-022</t>
  </si>
  <si>
    <t>COST-023</t>
  </si>
  <si>
    <t>COST-024</t>
  </si>
  <si>
    <t>COST-025</t>
  </si>
  <si>
    <t>Kategoria</t>
  </si>
  <si>
    <t>Reguła</t>
  </si>
  <si>
    <t>Governance i ewaluacja</t>
  </si>
  <si>
    <t>UNKNOWN propaguje się do wyniku; zero wymaga jawnego założenia FACT/ASSUMPTION.</t>
  </si>
  <si>
    <t>Problemy, testy i małe partie</t>
  </si>
  <si>
    <t>Dane, AI i obliczenia</t>
  </si>
  <si>
    <t>Cyber i software</t>
  </si>
  <si>
    <t>Przemysł i komponenty</t>
  </si>
  <si>
    <t>Serwis i logistyka</t>
  </si>
  <si>
    <t>Kadry i edukacja</t>
  </si>
  <si>
    <t>Partnerstwa, IP i certyfikacja</t>
  </si>
  <si>
    <t>Regiony i zastosowania cywilne</t>
  </si>
  <si>
    <t>Eksport</t>
  </si>
  <si>
    <t>TOTAL</t>
  </si>
  <si>
    <t>SUMA PRZYROSTOWA</t>
  </si>
  <si>
    <t>Suma nie obejmuje istniejących zobowiązań ani kosztu finansowania, dopóki nie zostaną osobno zmapowane.</t>
  </si>
  <si>
    <t>Etap/ryzyko</t>
  </si>
  <si>
    <t>Potencjalna funkcja</t>
  </si>
  <si>
    <t>Status analizy</t>
  </si>
  <si>
    <t>Współfinansowanie</t>
  </si>
  <si>
    <t>Warunek użycia / zastrzeżenie</t>
  </si>
  <si>
    <t>Budżet państwa</t>
  </si>
  <si>
    <t>zadania publiczne i zakupy</t>
  </si>
  <si>
    <t>mandat, usługi, kontrakty</t>
  </si>
  <si>
    <t>do mapowania</t>
  </si>
  <si>
    <t>zależne od pozycji</t>
  </si>
  <si>
    <t>wysokie</t>
  </si>
  <si>
    <t>Wskazać dysponenta, zobowiązanie, płatność i koszt alternatywny.</t>
  </si>
  <si>
    <t>SAFE</t>
  </si>
  <si>
    <t>zdolności i zamówienia</t>
  </si>
  <si>
    <t>finansowanie pożyczkowe</t>
  </si>
  <si>
    <t>umowa podpisana</t>
  </si>
  <si>
    <t>do weryfikacji</t>
  </si>
  <si>
    <t>CLM-1208/1209</t>
  </si>
  <si>
    <t>Nie traktować 43,7 mld EUR jako dotacji ani całej kwoty nowego programu; kwalifikowalność per koszt.</t>
  </si>
  <si>
    <t>EDF</t>
  </si>
  <si>
    <t>B+R i demonstracja</t>
  </si>
  <si>
    <t>projekty konsorcjalne</t>
  </si>
  <si>
    <t>do weryfikacji call</t>
  </si>
  <si>
    <t>zależne od call</t>
  </si>
  <si>
    <t>Sprawdzić bieżący regulamin, IP, konsorcjum i koszty kwalifikowane.</t>
  </si>
  <si>
    <t>EUDIS</t>
  </si>
  <si>
    <t>innowacje i scale-up</t>
  </si>
  <si>
    <t>instrument zależny od ścieżki</t>
  </si>
  <si>
    <t>zależne</t>
  </si>
  <si>
    <t>średnie</t>
  </si>
  <si>
    <t>Nie zakładać dostępności ani kwalifikowalności bez aktualnego naboru.</t>
  </si>
  <si>
    <t>STEP</t>
  </si>
  <si>
    <t>technologie strategiczne</t>
  </si>
  <si>
    <t>platforma/oznaczenie i instrumenty powiązane</t>
  </si>
  <si>
    <t>Wskazać konkretny program finansujący, nie liczyć całej platformy.</t>
  </si>
  <si>
    <t>PFR/BGK</t>
  </si>
  <si>
    <t>kapitał, kredyt, gwarancja</t>
  </si>
  <si>
    <t>moce i kapitał obrotowy</t>
  </si>
  <si>
    <t>Prywatny udział ryzyka, wycena ekspozycji i strategia wyjścia.</t>
  </si>
  <si>
    <t>NCBR/PARP</t>
  </si>
  <si>
    <t>B+R, MŚP, internacjonalizacja</t>
  </si>
  <si>
    <t>granty i programy</t>
  </si>
  <si>
    <t>Połączyć z użytkownikiem i bramką wdrożeniową; nie dublować kosztu.</t>
  </si>
  <si>
    <t>Kapitał prywatny</t>
  </si>
  <si>
    <t>ryzyko rynkowe i skala</t>
  </si>
  <si>
    <t>equity/debt/strategic</t>
  </si>
  <si>
    <t>case-by-case</t>
  </si>
  <si>
    <t>nie dotyczy</t>
  </si>
  <si>
    <t>niskie/średnie</t>
  </si>
  <si>
    <t>Nie gwarantować całego wyniku; ujawnić prawa, wycenę i konflikt interesów.</t>
  </si>
  <si>
    <t>Rezultat</t>
  </si>
  <si>
    <t>Kontrfaktyczny wariant</t>
  </si>
  <si>
    <t>Baza</t>
  </si>
  <si>
    <t>Miara</t>
  </si>
  <si>
    <t>Źródło</t>
  </si>
  <si>
    <t>Ryzyka atrybucji / uwagi</t>
  </si>
  <si>
    <t>IMP-01</t>
  </si>
  <si>
    <t>krótszy czas do testu</t>
  </si>
  <si>
    <t>obecny proces</t>
  </si>
  <si>
    <t>dni/mediana</t>
  </si>
  <si>
    <t>Wymagana metodologia dodatkowości; nie przypisywać całej obserwowanej zmiany programowi.</t>
  </si>
  <si>
    <t>IMP-02</t>
  </si>
  <si>
    <t>odporność dostaw</t>
  </si>
  <si>
    <t>pojedynczy dostawca</t>
  </si>
  <si>
    <t>% testowanej substytucji</t>
  </si>
  <si>
    <t>IMP-03</t>
  </si>
  <si>
    <t>wartość dodana w Polsce</t>
  </si>
  <si>
    <t>import lub baza 2026</t>
  </si>
  <si>
    <t>mln PLN / %</t>
  </si>
  <si>
    <t>IMP-04</t>
  </si>
  <si>
    <t>produktywność procesu cywilnego</t>
  </si>
  <si>
    <t>proces bez interwencji</t>
  </si>
  <si>
    <t>wynik na nakład</t>
  </si>
  <si>
    <t>IMP-05</t>
  </si>
  <si>
    <t>retencja kompetencji</t>
  </si>
  <si>
    <t>brak programu</t>
  </si>
  <si>
    <t>% po 12/24 mies.</t>
  </si>
  <si>
    <t>IMP-06</t>
  </si>
  <si>
    <t>wykonany eksport</t>
  </si>
  <si>
    <t>trend bazowy</t>
  </si>
  <si>
    <t>przychód/marża/serwis</t>
  </si>
  <si>
    <t>IMP-07</t>
  </si>
  <si>
    <t>uniknięte zobowiązania</t>
  </si>
  <si>
    <t>automatyczne skalowanie</t>
  </si>
  <si>
    <t>mln PLN opcji niewykonanych</t>
  </si>
  <si>
    <t>Czynnik</t>
  </si>
  <si>
    <t>Low</t>
  </si>
  <si>
    <t>Base</t>
  </si>
  <si>
    <t>High</t>
  </si>
  <si>
    <t>Wpływ na decyzję</t>
  </si>
  <si>
    <t>Plan walidacji</t>
  </si>
  <si>
    <t>SEN-01</t>
  </si>
  <si>
    <t>odchylenie CAPEX</t>
  </si>
  <si>
    <t>%</t>
  </si>
  <si>
    <t>właściciel i termin do wskazania</t>
  </si>
  <si>
    <t>SEN-02</t>
  </si>
  <si>
    <t>opóźnienie uruchomienia</t>
  </si>
  <si>
    <t>miesiące</t>
  </si>
  <si>
    <t>SEN-03</t>
  </si>
  <si>
    <t>wykorzystanie mocy</t>
  </si>
  <si>
    <t>SEN-04</t>
  </si>
  <si>
    <t>koszt finansowania</t>
  </si>
  <si>
    <t>SEN-05</t>
  </si>
  <si>
    <t>kurs walutowy</t>
  </si>
  <si>
    <t>PLN/waluta</t>
  </si>
  <si>
    <t>SEN-06</t>
  </si>
  <si>
    <t>koszt serwisu i aktualizacji</t>
  </si>
  <si>
    <t>SEN-07</t>
  </si>
  <si>
    <t>retencja kadr</t>
  </si>
  <si>
    <t>SEN-08</t>
  </si>
  <si>
    <t>opóźnienie przychodu eksportowego</t>
  </si>
  <si>
    <t>SEN-09</t>
  </si>
  <si>
    <t>udział projektów zamkniętych przed skalą</t>
  </si>
  <si>
    <t>SEN-10</t>
  </si>
  <si>
    <t>dostępność komponentów</t>
  </si>
  <si>
    <t>indeks</t>
  </si>
  <si>
    <t>Miernik</t>
  </si>
  <si>
    <t>Definicja</t>
  </si>
  <si>
    <t>Wartość bazowa</t>
  </si>
  <si>
    <t>Cel</t>
  </si>
  <si>
    <t>Guardrail / uwagi</t>
  </si>
  <si>
    <t>KPI-01</t>
  </si>
  <si>
    <t>Czas do pilotażu</t>
  </si>
  <si>
    <t>mediana dni B0→kontrakt pilotażowy</t>
  </si>
  <si>
    <t>dni</t>
  </si>
  <si>
    <t>Cel nie może zostać zatwierdzony bez bazy, mianownika i kosztu pomiaru.</t>
  </si>
  <si>
    <t>KPI-02</t>
  </si>
  <si>
    <t>Czas do testu użytkownika</t>
  </si>
  <si>
    <t>mediana dni B1→B3</t>
  </si>
  <si>
    <t>KPI-03</t>
  </si>
  <si>
    <t>Udział testów użytkownika</t>
  </si>
  <si>
    <t>projekty z B3 / projekty po B2</t>
  </si>
  <si>
    <t>KPI-04</t>
  </si>
  <si>
    <t>Dyscyplina zamknięć</t>
  </si>
  <si>
    <t>zamknięte z powodem / decyzje końcowe</t>
  </si>
  <si>
    <t>KPI-05</t>
  </si>
  <si>
    <t>Testowana substytucja</t>
  </si>
  <si>
    <t>elementy z testem / elementy krytyczne</t>
  </si>
  <si>
    <t>KPI-06</t>
  </si>
  <si>
    <t>Pełny TCO</t>
  </si>
  <si>
    <t>koszt cyklu na jednostkę rezultatu</t>
  </si>
  <si>
    <t>mln PLN/jedn.</t>
  </si>
  <si>
    <t>KPI-07</t>
  </si>
  <si>
    <t>Retencja kadr</t>
  </si>
  <si>
    <t>osoby w roli po 12/24 mies. / absolwenci</t>
  </si>
  <si>
    <t>KPI-08</t>
  </si>
  <si>
    <t>Wartość dodana w Polsce</t>
  </si>
  <si>
    <t>według zatwierdzonej metodologii</t>
  </si>
  <si>
    <t>KPI-09</t>
  </si>
  <si>
    <t>Popyt po pilotażu</t>
  </si>
  <si>
    <t>kontynuacje z budżetu właściciela / pilotaże</t>
  </si>
  <si>
    <t>KPI-10</t>
  </si>
  <si>
    <t>Wykonany eksport</t>
  </si>
  <si>
    <t>dostawy, przychód i serwis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</si>
</sst>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sz val="11"/>
      <color theme="1"/>
      <name val="Calibri"/>
      <family val="2"/>
      <scheme val="minor"/>
    </font>
    <font>
      <b/>
      <sz val="16"/>
      <color rgb="FF0B1F33"/>
      <name val="Calibri"/>
      <family val="2"/>
      <scheme val="minor"/>
    </font>
    <font>
      <b/>
      <sz val="11"/>
      <color rgb="FF194F7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A5A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1F33"/>
        <bgColor indexed="64"/>
      </patternFill>
    </fill>
    <fill>
      <patternFill patternType="solid">
        <fgColor rgb="FFFFF4D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165" fontId="0" fillId="4" borderId="1" xfId="0" applyNumberFormat="1" applyFill="1" applyBorder="1"/>
    <xf numFmtId="164" fontId="0" fillId="5" borderId="1" xfId="0" applyNumberFormat="1" applyFill="1" applyBorder="1"/>
    <xf numFmtId="164" fontId="3" fillId="2" borderId="1" xfId="0" applyNumberFormat="1" applyFont="1" applyFill="1" applyBorder="1"/>
  </cellXfs>
  <cellStyles count="1">
    <cellStyle name="Normal" xfId="0" builtinId="0"/>
  </cellStyles>
  <dxfs count="1">
    <dxf>
      <font>
        <color rgb="FF8A5A00"/>
      </font>
      <fill>
        <patternFill>
          <bgColor rgb="FFFFF4D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7A24A"/>
    <pageSetUpPr fitToPage="1"/>
  </sheetPr>
  <dimension ref="A1:B11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4" t="s">
        <v>3</v>
      </c>
    </row>
    <row r="5" spans="1:2">
      <c r="A5" s="3" t="s">
        <v>4</v>
      </c>
      <c r="B5" s="4" t="s">
        <v>5</v>
      </c>
    </row>
    <row r="6" spans="1:2">
      <c r="A6" s="3" t="s">
        <v>6</v>
      </c>
      <c r="B6" s="4" t="s">
        <v>7</v>
      </c>
    </row>
    <row r="7" spans="1:2">
      <c r="A7" s="3" t="s">
        <v>8</v>
      </c>
      <c r="B7" s="4" t="s">
        <v>9</v>
      </c>
    </row>
    <row r="8" spans="1:2">
      <c r="A8" s="3" t="s">
        <v>10</v>
      </c>
      <c r="B8" s="4" t="s">
        <v>11</v>
      </c>
    </row>
    <row r="9" spans="1:2">
      <c r="A9" s="3" t="s">
        <v>12</v>
      </c>
      <c r="B9" s="4" t="s">
        <v>13</v>
      </c>
    </row>
    <row r="10" spans="1:2">
      <c r="A10" s="3" t="s">
        <v>14</v>
      </c>
      <c r="B10" s="4" t="s">
        <v>15</v>
      </c>
    </row>
    <row r="11" spans="1:2">
      <c r="A11" s="3" t="s">
        <v>16</v>
      </c>
      <c r="B11" s="4" t="s">
        <v>17</v>
      </c>
    </row>
  </sheetData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94F7A"/>
    <pageSetUpPr fitToPage="1"/>
  </sheetPr>
  <dimension ref="A1:N1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12.7109375" customWidth="1"/>
    <col min="3" max="3" width="42.7109375" customWidth="1"/>
    <col min="4" max="7" width="14.7109375" customWidth="1"/>
    <col min="8" max="8" width="13.7109375" customWidth="1"/>
    <col min="9" max="9" width="12.7109375" customWidth="1"/>
    <col min="10" max="10" width="18.7109375" customWidth="1"/>
    <col min="11" max="11" width="22.7109375" customWidth="1"/>
    <col min="12" max="13" width="14.7109375" customWidth="1"/>
    <col min="14" max="14" width="45.7109375" customWidth="1"/>
  </cols>
  <sheetData>
    <row r="1" spans="1:14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</row>
    <row r="2" spans="1:14">
      <c r="A2" s="4" t="s">
        <v>32</v>
      </c>
      <c r="B2" s="4" t="s">
        <v>33</v>
      </c>
      <c r="C2" s="4" t="s">
        <v>34</v>
      </c>
      <c r="D2" s="5" t="s">
        <v>35</v>
      </c>
      <c r="E2" s="6"/>
      <c r="F2" s="6"/>
      <c r="G2" s="6"/>
      <c r="H2" s="7" t="s">
        <v>36</v>
      </c>
      <c r="I2" s="5" t="s">
        <v>35</v>
      </c>
      <c r="J2" s="5" t="s">
        <v>35</v>
      </c>
      <c r="K2" s="5" t="s">
        <v>37</v>
      </c>
      <c r="L2" s="5" t="s">
        <v>35</v>
      </c>
      <c r="M2" s="5" t="s">
        <v>38</v>
      </c>
      <c r="N2" s="5" t="s">
        <v>39</v>
      </c>
    </row>
    <row r="3" spans="1:14">
      <c r="A3" s="4" t="s">
        <v>40</v>
      </c>
      <c r="B3" s="4" t="s">
        <v>41</v>
      </c>
      <c r="C3" s="4" t="s">
        <v>42</v>
      </c>
      <c r="D3" s="5" t="s">
        <v>35</v>
      </c>
      <c r="E3" s="6"/>
      <c r="F3" s="6"/>
      <c r="G3" s="6"/>
      <c r="H3" s="7" t="s">
        <v>36</v>
      </c>
      <c r="I3" s="5" t="s">
        <v>35</v>
      </c>
      <c r="J3" s="5" t="s">
        <v>35</v>
      </c>
      <c r="K3" s="5" t="s">
        <v>37</v>
      </c>
      <c r="L3" s="5" t="s">
        <v>35</v>
      </c>
      <c r="M3" s="5" t="s">
        <v>38</v>
      </c>
      <c r="N3" s="5" t="s">
        <v>39</v>
      </c>
    </row>
    <row r="4" spans="1:14">
      <c r="A4" s="4" t="s">
        <v>43</v>
      </c>
      <c r="B4" s="4" t="s">
        <v>44</v>
      </c>
      <c r="C4" s="4" t="s">
        <v>45</v>
      </c>
      <c r="D4" s="5" t="s">
        <v>35</v>
      </c>
      <c r="E4" s="6"/>
      <c r="F4" s="6"/>
      <c r="G4" s="6"/>
      <c r="H4" s="7" t="s">
        <v>36</v>
      </c>
      <c r="I4" s="5" t="s">
        <v>35</v>
      </c>
      <c r="J4" s="5" t="s">
        <v>35</v>
      </c>
      <c r="K4" s="5" t="s">
        <v>37</v>
      </c>
      <c r="L4" s="5" t="s">
        <v>35</v>
      </c>
      <c r="M4" s="5" t="s">
        <v>38</v>
      </c>
      <c r="N4" s="5" t="s">
        <v>39</v>
      </c>
    </row>
    <row r="5" spans="1:14">
      <c r="A5" s="4" t="s">
        <v>46</v>
      </c>
      <c r="B5" s="4" t="s">
        <v>47</v>
      </c>
      <c r="C5" s="4" t="s">
        <v>48</v>
      </c>
      <c r="D5" s="5" t="s">
        <v>35</v>
      </c>
      <c r="E5" s="6"/>
      <c r="F5" s="6"/>
      <c r="G5" s="6"/>
      <c r="H5" s="7" t="s">
        <v>36</v>
      </c>
      <c r="I5" s="5" t="s">
        <v>35</v>
      </c>
      <c r="J5" s="5" t="s">
        <v>35</v>
      </c>
      <c r="K5" s="5" t="s">
        <v>37</v>
      </c>
      <c r="L5" s="5" t="s">
        <v>35</v>
      </c>
      <c r="M5" s="5" t="s">
        <v>38</v>
      </c>
      <c r="N5" s="5" t="s">
        <v>39</v>
      </c>
    </row>
    <row r="6" spans="1:14">
      <c r="A6" s="4" t="s">
        <v>49</v>
      </c>
      <c r="B6" s="4" t="s">
        <v>50</v>
      </c>
      <c r="C6" s="4" t="s">
        <v>51</v>
      </c>
      <c r="D6" s="5" t="s">
        <v>35</v>
      </c>
      <c r="E6" s="6"/>
      <c r="F6" s="6"/>
      <c r="G6" s="6"/>
      <c r="H6" s="7" t="s">
        <v>36</v>
      </c>
      <c r="I6" s="5" t="s">
        <v>35</v>
      </c>
      <c r="J6" s="5" t="s">
        <v>35</v>
      </c>
      <c r="K6" s="5" t="s">
        <v>37</v>
      </c>
      <c r="L6" s="5" t="s">
        <v>35</v>
      </c>
      <c r="M6" s="5" t="s">
        <v>38</v>
      </c>
      <c r="N6" s="5" t="s">
        <v>39</v>
      </c>
    </row>
    <row r="7" spans="1:14">
      <c r="A7" s="4" t="s">
        <v>52</v>
      </c>
      <c r="B7" s="4" t="s">
        <v>53</v>
      </c>
      <c r="C7" s="4" t="s">
        <v>54</v>
      </c>
      <c r="D7" s="5" t="s">
        <v>35</v>
      </c>
      <c r="E7" s="6"/>
      <c r="F7" s="6"/>
      <c r="G7" s="6"/>
      <c r="H7" s="7" t="s">
        <v>36</v>
      </c>
      <c r="I7" s="5" t="s">
        <v>35</v>
      </c>
      <c r="J7" s="5" t="s">
        <v>35</v>
      </c>
      <c r="K7" s="5" t="s">
        <v>37</v>
      </c>
      <c r="L7" s="5" t="s">
        <v>35</v>
      </c>
      <c r="M7" s="5" t="s">
        <v>38</v>
      </c>
      <c r="N7" s="5" t="s">
        <v>39</v>
      </c>
    </row>
    <row r="8" spans="1:14">
      <c r="A8" s="4" t="s">
        <v>55</v>
      </c>
      <c r="B8" s="4" t="s">
        <v>56</v>
      </c>
      <c r="C8" s="4" t="s">
        <v>57</v>
      </c>
      <c r="D8" s="5" t="s">
        <v>35</v>
      </c>
      <c r="E8" s="6"/>
      <c r="F8" s="6"/>
      <c r="G8" s="6"/>
      <c r="H8" s="7" t="s">
        <v>36</v>
      </c>
      <c r="I8" s="5" t="s">
        <v>35</v>
      </c>
      <c r="J8" s="5" t="s">
        <v>35</v>
      </c>
      <c r="K8" s="5" t="s">
        <v>37</v>
      </c>
      <c r="L8" s="5" t="s">
        <v>35</v>
      </c>
      <c r="M8" s="5" t="s">
        <v>38</v>
      </c>
      <c r="N8" s="5" t="s">
        <v>39</v>
      </c>
    </row>
    <row r="9" spans="1:14">
      <c r="A9" s="4" t="s">
        <v>58</v>
      </c>
      <c r="B9" s="4" t="s">
        <v>59</v>
      </c>
      <c r="C9" s="4" t="s">
        <v>60</v>
      </c>
      <c r="D9" s="5" t="s">
        <v>35</v>
      </c>
      <c r="E9" s="6"/>
      <c r="F9" s="6"/>
      <c r="G9" s="6"/>
      <c r="H9" s="7" t="s">
        <v>36</v>
      </c>
      <c r="I9" s="5" t="s">
        <v>35</v>
      </c>
      <c r="J9" s="5" t="s">
        <v>35</v>
      </c>
      <c r="K9" s="5" t="s">
        <v>37</v>
      </c>
      <c r="L9" s="5" t="s">
        <v>35</v>
      </c>
      <c r="M9" s="5" t="s">
        <v>38</v>
      </c>
      <c r="N9" s="5" t="s">
        <v>39</v>
      </c>
    </row>
    <row r="10" spans="1:14">
      <c r="A10" s="4" t="s">
        <v>61</v>
      </c>
      <c r="B10" s="4" t="s">
        <v>62</v>
      </c>
      <c r="C10" s="4" t="s">
        <v>63</v>
      </c>
      <c r="D10" s="5" t="s">
        <v>35</v>
      </c>
      <c r="E10" s="6"/>
      <c r="F10" s="6"/>
      <c r="G10" s="6"/>
      <c r="H10" s="7" t="s">
        <v>36</v>
      </c>
      <c r="I10" s="5" t="s">
        <v>35</v>
      </c>
      <c r="J10" s="5" t="s">
        <v>35</v>
      </c>
      <c r="K10" s="5" t="s">
        <v>37</v>
      </c>
      <c r="L10" s="5" t="s">
        <v>35</v>
      </c>
      <c r="M10" s="5" t="s">
        <v>38</v>
      </c>
      <c r="N10" s="5" t="s">
        <v>39</v>
      </c>
    </row>
    <row r="11" spans="1:14">
      <c r="A11" s="4" t="s">
        <v>64</v>
      </c>
      <c r="B11" s="4" t="s">
        <v>65</v>
      </c>
      <c r="C11" s="4" t="s">
        <v>66</v>
      </c>
      <c r="D11" s="5" t="s">
        <v>35</v>
      </c>
      <c r="E11" s="6"/>
      <c r="F11" s="6"/>
      <c r="G11" s="6"/>
      <c r="H11" s="7" t="s">
        <v>36</v>
      </c>
      <c r="I11" s="5" t="s">
        <v>35</v>
      </c>
      <c r="J11" s="5" t="s">
        <v>35</v>
      </c>
      <c r="K11" s="5" t="s">
        <v>37</v>
      </c>
      <c r="L11" s="5" t="s">
        <v>35</v>
      </c>
      <c r="M11" s="5" t="s">
        <v>38</v>
      </c>
      <c r="N11" s="5" t="s">
        <v>39</v>
      </c>
    </row>
    <row r="12" spans="1:14">
      <c r="A12" s="4" t="s">
        <v>67</v>
      </c>
      <c r="B12" s="4" t="s">
        <v>68</v>
      </c>
      <c r="C12" s="4" t="s">
        <v>69</v>
      </c>
      <c r="D12" s="5" t="s">
        <v>35</v>
      </c>
      <c r="E12" s="6"/>
      <c r="F12" s="6"/>
      <c r="G12" s="6"/>
      <c r="H12" s="7" t="s">
        <v>36</v>
      </c>
      <c r="I12" s="5" t="s">
        <v>35</v>
      </c>
      <c r="J12" s="5" t="s">
        <v>35</v>
      </c>
      <c r="K12" s="5" t="s">
        <v>37</v>
      </c>
      <c r="L12" s="5" t="s">
        <v>35</v>
      </c>
      <c r="M12" s="5" t="s">
        <v>38</v>
      </c>
      <c r="N12" s="5" t="s">
        <v>39</v>
      </c>
    </row>
    <row r="13" spans="1:14">
      <c r="A13" s="4" t="s">
        <v>70</v>
      </c>
      <c r="B13" s="4" t="s">
        <v>71</v>
      </c>
      <c r="C13" s="4" t="s">
        <v>72</v>
      </c>
      <c r="D13" s="5" t="s">
        <v>35</v>
      </c>
      <c r="E13" s="6"/>
      <c r="F13" s="6"/>
      <c r="G13" s="6"/>
      <c r="H13" s="7" t="s">
        <v>36</v>
      </c>
      <c r="I13" s="5" t="s">
        <v>35</v>
      </c>
      <c r="J13" s="5" t="s">
        <v>35</v>
      </c>
      <c r="K13" s="5" t="s">
        <v>37</v>
      </c>
      <c r="L13" s="5" t="s">
        <v>35</v>
      </c>
      <c r="M13" s="5" t="s">
        <v>38</v>
      </c>
      <c r="N13" s="5" t="s">
        <v>39</v>
      </c>
    </row>
    <row r="14" spans="1:14">
      <c r="A14" s="4" t="s">
        <v>73</v>
      </c>
      <c r="B14" s="4" t="s">
        <v>74</v>
      </c>
      <c r="C14" s="4" t="s">
        <v>75</v>
      </c>
      <c r="D14" s="5" t="s">
        <v>35</v>
      </c>
      <c r="E14" s="6"/>
      <c r="F14" s="6"/>
      <c r="G14" s="6"/>
      <c r="H14" s="7" t="s">
        <v>36</v>
      </c>
      <c r="I14" s="5" t="s">
        <v>35</v>
      </c>
      <c r="J14" s="5" t="s">
        <v>35</v>
      </c>
      <c r="K14" s="5" t="s">
        <v>37</v>
      </c>
      <c r="L14" s="5" t="s">
        <v>35</v>
      </c>
      <c r="M14" s="5" t="s">
        <v>38</v>
      </c>
      <c r="N14" s="5" t="s">
        <v>39</v>
      </c>
    </row>
    <row r="15" spans="1:14">
      <c r="A15" s="4" t="s">
        <v>76</v>
      </c>
      <c r="B15" s="4" t="s">
        <v>77</v>
      </c>
      <c r="C15" s="4" t="s">
        <v>78</v>
      </c>
      <c r="D15" s="5" t="s">
        <v>35</v>
      </c>
      <c r="E15" s="6"/>
      <c r="F15" s="6"/>
      <c r="G15" s="6"/>
      <c r="H15" s="7" t="s">
        <v>36</v>
      </c>
      <c r="I15" s="5" t="s">
        <v>35</v>
      </c>
      <c r="J15" s="5" t="s">
        <v>35</v>
      </c>
      <c r="K15" s="5" t="s">
        <v>37</v>
      </c>
      <c r="L15" s="5" t="s">
        <v>35</v>
      </c>
      <c r="M15" s="5" t="s">
        <v>38</v>
      </c>
      <c r="N15" s="5" t="s">
        <v>39</v>
      </c>
    </row>
    <row r="16" spans="1:14">
      <c r="A16" s="4" t="s">
        <v>79</v>
      </c>
      <c r="B16" s="4" t="s">
        <v>80</v>
      </c>
      <c r="C16" s="4" t="s">
        <v>81</v>
      </c>
      <c r="D16" s="5" t="s">
        <v>35</v>
      </c>
      <c r="E16" s="6"/>
      <c r="F16" s="6"/>
      <c r="G16" s="6"/>
      <c r="H16" s="7" t="s">
        <v>36</v>
      </c>
      <c r="I16" s="5" t="s">
        <v>35</v>
      </c>
      <c r="J16" s="5" t="s">
        <v>35</v>
      </c>
      <c r="K16" s="5" t="s">
        <v>37</v>
      </c>
      <c r="L16" s="5" t="s">
        <v>35</v>
      </c>
      <c r="M16" s="5" t="s">
        <v>38</v>
      </c>
      <c r="N16" s="5" t="s">
        <v>39</v>
      </c>
    </row>
  </sheetData>
  <autoFilter ref="A1:N100"/>
  <conditionalFormatting sqref="D2:D100">
    <cfRule type="containsText" dxfId="0" priority="1" operator="containsText" text="UNKNOWN">
      <formula>NOT(ISERROR(SEARCH("UNKNOWN",D2)))</formula>
    </cfRule>
  </conditionalFormatting>
  <dataValidations count="2">
    <dataValidation type="list" allowBlank="1" showInputMessage="1" showErrorMessage="1" sqref="D2:D100">
      <formula1>"UNKNOWN,FACT,ASSUMPTION,SCENARIO,RETIRED"</formula1>
    </dataValidation>
    <dataValidation type="list" allowBlank="1" showInputMessage="1" showErrorMessage="1" sqref="M2:M100">
      <formula1>"low,medium,high,critical"</formula1>
    </dataValidation>
  </dataValidations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7333E"/>
    <pageSetUpPr fitToPage="1"/>
  </sheetPr>
  <dimension ref="A1:O2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16.7109375" customWidth="1"/>
    <col min="2" max="2" width="18.7109375" customWidth="1"/>
    <col min="3" max="3" width="34.7109375" customWidth="1"/>
    <col min="4" max="4" width="18.7109375" customWidth="1"/>
    <col min="5" max="8" width="14.7109375" customWidth="1"/>
    <col min="9" max="11" width="16.7109375" customWidth="1"/>
    <col min="12" max="12" width="20.7109375" customWidth="1"/>
    <col min="13" max="13" width="18.7109375" customWidth="1"/>
    <col min="14" max="14" width="16.7109375" customWidth="1"/>
    <col min="15" max="15" width="38.7109375" customWidth="1"/>
  </cols>
  <sheetData>
    <row r="1" spans="1:15">
      <c r="A1" s="3" t="s">
        <v>19</v>
      </c>
      <c r="B1" s="3" t="s">
        <v>82</v>
      </c>
      <c r="C1" s="3" t="s">
        <v>83</v>
      </c>
      <c r="D1" s="3" t="s">
        <v>84</v>
      </c>
      <c r="E1" s="3" t="s">
        <v>21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27</v>
      </c>
      <c r="M1" s="3" t="s">
        <v>91</v>
      </c>
      <c r="N1" s="3" t="s">
        <v>92</v>
      </c>
      <c r="O1" s="3" t="s">
        <v>93</v>
      </c>
    </row>
    <row r="2" spans="1:15">
      <c r="A2" s="4" t="s">
        <v>94</v>
      </c>
      <c r="B2" s="5" t="s">
        <v>35</v>
      </c>
      <c r="C2" s="5" t="s">
        <v>35</v>
      </c>
      <c r="D2" s="5" t="s">
        <v>95</v>
      </c>
      <c r="E2" s="5" t="s">
        <v>35</v>
      </c>
      <c r="F2" s="5" t="s">
        <v>35</v>
      </c>
      <c r="G2" s="5" t="s">
        <v>35</v>
      </c>
      <c r="H2" s="6"/>
      <c r="I2" s="8"/>
      <c r="J2" s="8"/>
      <c r="K2" s="7" t="s">
        <v>96</v>
      </c>
      <c r="L2" s="5" t="s">
        <v>35</v>
      </c>
      <c r="M2" s="5" t="s">
        <v>38</v>
      </c>
      <c r="N2" s="5" t="s">
        <v>38</v>
      </c>
      <c r="O2" s="7"/>
    </row>
    <row r="3" spans="1:15">
      <c r="A3" s="4" t="s">
        <v>97</v>
      </c>
      <c r="B3" s="5" t="s">
        <v>35</v>
      </c>
      <c r="C3" s="5" t="s">
        <v>35</v>
      </c>
      <c r="D3" s="5" t="s">
        <v>95</v>
      </c>
      <c r="E3" s="5" t="s">
        <v>35</v>
      </c>
      <c r="F3" s="5" t="s">
        <v>35</v>
      </c>
      <c r="G3" s="5" t="s">
        <v>35</v>
      </c>
      <c r="H3" s="6"/>
      <c r="I3" s="8"/>
      <c r="J3" s="8"/>
      <c r="K3" s="7" t="s">
        <v>96</v>
      </c>
      <c r="L3" s="5" t="s">
        <v>35</v>
      </c>
      <c r="M3" s="5" t="s">
        <v>38</v>
      </c>
      <c r="N3" s="5" t="s">
        <v>38</v>
      </c>
      <c r="O3" s="7"/>
    </row>
    <row r="4" spans="1:15">
      <c r="A4" s="4" t="s">
        <v>98</v>
      </c>
      <c r="B4" s="5" t="s">
        <v>35</v>
      </c>
      <c r="C4" s="5" t="s">
        <v>35</v>
      </c>
      <c r="D4" s="5" t="s">
        <v>95</v>
      </c>
      <c r="E4" s="5" t="s">
        <v>35</v>
      </c>
      <c r="F4" s="5" t="s">
        <v>35</v>
      </c>
      <c r="G4" s="5" t="s">
        <v>35</v>
      </c>
      <c r="H4" s="6"/>
      <c r="I4" s="8"/>
      <c r="J4" s="8"/>
      <c r="K4" s="7" t="s">
        <v>96</v>
      </c>
      <c r="L4" s="5" t="s">
        <v>35</v>
      </c>
      <c r="M4" s="5" t="s">
        <v>38</v>
      </c>
      <c r="N4" s="5" t="s">
        <v>38</v>
      </c>
      <c r="O4" s="7"/>
    </row>
    <row r="5" spans="1:15">
      <c r="A5" s="4" t="s">
        <v>99</v>
      </c>
      <c r="B5" s="5" t="s">
        <v>35</v>
      </c>
      <c r="C5" s="5" t="s">
        <v>35</v>
      </c>
      <c r="D5" s="5" t="s">
        <v>95</v>
      </c>
      <c r="E5" s="5" t="s">
        <v>35</v>
      </c>
      <c r="F5" s="5" t="s">
        <v>35</v>
      </c>
      <c r="G5" s="5" t="s">
        <v>35</v>
      </c>
      <c r="H5" s="6"/>
      <c r="I5" s="8"/>
      <c r="J5" s="8"/>
      <c r="K5" s="7" t="s">
        <v>96</v>
      </c>
      <c r="L5" s="5" t="s">
        <v>35</v>
      </c>
      <c r="M5" s="5" t="s">
        <v>38</v>
      </c>
      <c r="N5" s="5" t="s">
        <v>38</v>
      </c>
      <c r="O5" s="7"/>
    </row>
    <row r="6" spans="1:15">
      <c r="A6" s="4" t="s">
        <v>100</v>
      </c>
      <c r="B6" s="5" t="s">
        <v>35</v>
      </c>
      <c r="C6" s="5" t="s">
        <v>35</v>
      </c>
      <c r="D6" s="5" t="s">
        <v>95</v>
      </c>
      <c r="E6" s="5" t="s">
        <v>35</v>
      </c>
      <c r="F6" s="5" t="s">
        <v>35</v>
      </c>
      <c r="G6" s="5" t="s">
        <v>35</v>
      </c>
      <c r="H6" s="6"/>
      <c r="I6" s="8"/>
      <c r="J6" s="8"/>
      <c r="K6" s="7" t="s">
        <v>96</v>
      </c>
      <c r="L6" s="5" t="s">
        <v>35</v>
      </c>
      <c r="M6" s="5" t="s">
        <v>38</v>
      </c>
      <c r="N6" s="5" t="s">
        <v>38</v>
      </c>
      <c r="O6" s="7"/>
    </row>
    <row r="7" spans="1:15">
      <c r="A7" s="4" t="s">
        <v>101</v>
      </c>
      <c r="B7" s="5" t="s">
        <v>35</v>
      </c>
      <c r="C7" s="5" t="s">
        <v>35</v>
      </c>
      <c r="D7" s="5" t="s">
        <v>95</v>
      </c>
      <c r="E7" s="5" t="s">
        <v>35</v>
      </c>
      <c r="F7" s="5" t="s">
        <v>35</v>
      </c>
      <c r="G7" s="5" t="s">
        <v>35</v>
      </c>
      <c r="H7" s="6"/>
      <c r="I7" s="8"/>
      <c r="J7" s="8"/>
      <c r="K7" s="7" t="s">
        <v>96</v>
      </c>
      <c r="L7" s="5" t="s">
        <v>35</v>
      </c>
      <c r="M7" s="5" t="s">
        <v>38</v>
      </c>
      <c r="N7" s="5" t="s">
        <v>38</v>
      </c>
      <c r="O7" s="7"/>
    </row>
    <row r="8" spans="1:15">
      <c r="A8" s="4" t="s">
        <v>102</v>
      </c>
      <c r="B8" s="5" t="s">
        <v>35</v>
      </c>
      <c r="C8" s="5" t="s">
        <v>35</v>
      </c>
      <c r="D8" s="5" t="s">
        <v>95</v>
      </c>
      <c r="E8" s="5" t="s">
        <v>35</v>
      </c>
      <c r="F8" s="5" t="s">
        <v>35</v>
      </c>
      <c r="G8" s="5" t="s">
        <v>35</v>
      </c>
      <c r="H8" s="6"/>
      <c r="I8" s="8"/>
      <c r="J8" s="8"/>
      <c r="K8" s="7" t="s">
        <v>96</v>
      </c>
      <c r="L8" s="5" t="s">
        <v>35</v>
      </c>
      <c r="M8" s="5" t="s">
        <v>38</v>
      </c>
      <c r="N8" s="5" t="s">
        <v>38</v>
      </c>
      <c r="O8" s="7"/>
    </row>
    <row r="9" spans="1:15">
      <c r="A9" s="4" t="s">
        <v>103</v>
      </c>
      <c r="B9" s="5" t="s">
        <v>35</v>
      </c>
      <c r="C9" s="5" t="s">
        <v>35</v>
      </c>
      <c r="D9" s="5" t="s">
        <v>95</v>
      </c>
      <c r="E9" s="5" t="s">
        <v>35</v>
      </c>
      <c r="F9" s="5" t="s">
        <v>35</v>
      </c>
      <c r="G9" s="5" t="s">
        <v>35</v>
      </c>
      <c r="H9" s="6"/>
      <c r="I9" s="8"/>
      <c r="J9" s="8"/>
      <c r="K9" s="7" t="s">
        <v>96</v>
      </c>
      <c r="L9" s="5" t="s">
        <v>35</v>
      </c>
      <c r="M9" s="5" t="s">
        <v>38</v>
      </c>
      <c r="N9" s="5" t="s">
        <v>38</v>
      </c>
      <c r="O9" s="7"/>
    </row>
    <row r="10" spans="1:15">
      <c r="A10" s="4" t="s">
        <v>104</v>
      </c>
      <c r="B10" s="5" t="s">
        <v>35</v>
      </c>
      <c r="C10" s="5" t="s">
        <v>35</v>
      </c>
      <c r="D10" s="5" t="s">
        <v>95</v>
      </c>
      <c r="E10" s="5" t="s">
        <v>35</v>
      </c>
      <c r="F10" s="5" t="s">
        <v>35</v>
      </c>
      <c r="G10" s="5" t="s">
        <v>35</v>
      </c>
      <c r="H10" s="6"/>
      <c r="I10" s="8"/>
      <c r="J10" s="8"/>
      <c r="K10" s="7" t="s">
        <v>96</v>
      </c>
      <c r="L10" s="5" t="s">
        <v>35</v>
      </c>
      <c r="M10" s="5" t="s">
        <v>38</v>
      </c>
      <c r="N10" s="5" t="s">
        <v>38</v>
      </c>
      <c r="O10" s="7"/>
    </row>
    <row r="11" spans="1:15">
      <c r="A11" s="4" t="s">
        <v>105</v>
      </c>
      <c r="B11" s="5" t="s">
        <v>35</v>
      </c>
      <c r="C11" s="5" t="s">
        <v>35</v>
      </c>
      <c r="D11" s="5" t="s">
        <v>95</v>
      </c>
      <c r="E11" s="5" t="s">
        <v>35</v>
      </c>
      <c r="F11" s="5" t="s">
        <v>35</v>
      </c>
      <c r="G11" s="5" t="s">
        <v>35</v>
      </c>
      <c r="H11" s="6"/>
      <c r="I11" s="8"/>
      <c r="J11" s="8"/>
      <c r="K11" s="7" t="s">
        <v>96</v>
      </c>
      <c r="L11" s="5" t="s">
        <v>35</v>
      </c>
      <c r="M11" s="5" t="s">
        <v>38</v>
      </c>
      <c r="N11" s="5" t="s">
        <v>38</v>
      </c>
      <c r="O11" s="7"/>
    </row>
    <row r="12" spans="1:15">
      <c r="A12" s="4" t="s">
        <v>106</v>
      </c>
      <c r="B12" s="5" t="s">
        <v>35</v>
      </c>
      <c r="C12" s="5" t="s">
        <v>35</v>
      </c>
      <c r="D12" s="5" t="s">
        <v>95</v>
      </c>
      <c r="E12" s="5" t="s">
        <v>35</v>
      </c>
      <c r="F12" s="5" t="s">
        <v>35</v>
      </c>
      <c r="G12" s="5" t="s">
        <v>35</v>
      </c>
      <c r="H12" s="6"/>
      <c r="I12" s="8"/>
      <c r="J12" s="8"/>
      <c r="K12" s="7" t="s">
        <v>96</v>
      </c>
      <c r="L12" s="5" t="s">
        <v>35</v>
      </c>
      <c r="M12" s="5" t="s">
        <v>38</v>
      </c>
      <c r="N12" s="5" t="s">
        <v>38</v>
      </c>
      <c r="O12" s="7"/>
    </row>
    <row r="13" spans="1:15">
      <c r="A13" s="4" t="s">
        <v>107</v>
      </c>
      <c r="B13" s="5" t="s">
        <v>35</v>
      </c>
      <c r="C13" s="5" t="s">
        <v>35</v>
      </c>
      <c r="D13" s="5" t="s">
        <v>95</v>
      </c>
      <c r="E13" s="5" t="s">
        <v>35</v>
      </c>
      <c r="F13" s="5" t="s">
        <v>35</v>
      </c>
      <c r="G13" s="5" t="s">
        <v>35</v>
      </c>
      <c r="H13" s="6"/>
      <c r="I13" s="8"/>
      <c r="J13" s="8"/>
      <c r="K13" s="7" t="s">
        <v>96</v>
      </c>
      <c r="L13" s="5" t="s">
        <v>35</v>
      </c>
      <c r="M13" s="5" t="s">
        <v>38</v>
      </c>
      <c r="N13" s="5" t="s">
        <v>38</v>
      </c>
      <c r="O13" s="7"/>
    </row>
    <row r="14" spans="1:15">
      <c r="A14" s="4" t="s">
        <v>108</v>
      </c>
      <c r="B14" s="5" t="s">
        <v>35</v>
      </c>
      <c r="C14" s="5" t="s">
        <v>35</v>
      </c>
      <c r="D14" s="5" t="s">
        <v>95</v>
      </c>
      <c r="E14" s="5" t="s">
        <v>35</v>
      </c>
      <c r="F14" s="5" t="s">
        <v>35</v>
      </c>
      <c r="G14" s="5" t="s">
        <v>35</v>
      </c>
      <c r="H14" s="6"/>
      <c r="I14" s="8"/>
      <c r="J14" s="8"/>
      <c r="K14" s="7" t="s">
        <v>96</v>
      </c>
      <c r="L14" s="5" t="s">
        <v>35</v>
      </c>
      <c r="M14" s="5" t="s">
        <v>38</v>
      </c>
      <c r="N14" s="5" t="s">
        <v>38</v>
      </c>
      <c r="O14" s="7"/>
    </row>
    <row r="15" spans="1:15">
      <c r="A15" s="4" t="s">
        <v>109</v>
      </c>
      <c r="B15" s="5" t="s">
        <v>35</v>
      </c>
      <c r="C15" s="5" t="s">
        <v>35</v>
      </c>
      <c r="D15" s="5" t="s">
        <v>95</v>
      </c>
      <c r="E15" s="5" t="s">
        <v>35</v>
      </c>
      <c r="F15" s="5" t="s">
        <v>35</v>
      </c>
      <c r="G15" s="5" t="s">
        <v>35</v>
      </c>
      <c r="H15" s="6"/>
      <c r="I15" s="8"/>
      <c r="J15" s="8"/>
      <c r="K15" s="7" t="s">
        <v>96</v>
      </c>
      <c r="L15" s="5" t="s">
        <v>35</v>
      </c>
      <c r="M15" s="5" t="s">
        <v>38</v>
      </c>
      <c r="N15" s="5" t="s">
        <v>38</v>
      </c>
      <c r="O15" s="7"/>
    </row>
    <row r="16" spans="1:15">
      <c r="A16" s="4" t="s">
        <v>110</v>
      </c>
      <c r="B16" s="5" t="s">
        <v>35</v>
      </c>
      <c r="C16" s="5" t="s">
        <v>35</v>
      </c>
      <c r="D16" s="5" t="s">
        <v>95</v>
      </c>
      <c r="E16" s="5" t="s">
        <v>35</v>
      </c>
      <c r="F16" s="5" t="s">
        <v>35</v>
      </c>
      <c r="G16" s="5" t="s">
        <v>35</v>
      </c>
      <c r="H16" s="6"/>
      <c r="I16" s="8"/>
      <c r="J16" s="8"/>
      <c r="K16" s="7" t="s">
        <v>96</v>
      </c>
      <c r="L16" s="5" t="s">
        <v>35</v>
      </c>
      <c r="M16" s="5" t="s">
        <v>38</v>
      </c>
      <c r="N16" s="5" t="s">
        <v>38</v>
      </c>
      <c r="O16" s="7"/>
    </row>
    <row r="17" spans="1:15">
      <c r="A17" s="4" t="s">
        <v>111</v>
      </c>
      <c r="B17" s="5" t="s">
        <v>35</v>
      </c>
      <c r="C17" s="5" t="s">
        <v>35</v>
      </c>
      <c r="D17" s="5" t="s">
        <v>95</v>
      </c>
      <c r="E17" s="5" t="s">
        <v>35</v>
      </c>
      <c r="F17" s="5" t="s">
        <v>35</v>
      </c>
      <c r="G17" s="5" t="s">
        <v>35</v>
      </c>
      <c r="H17" s="6"/>
      <c r="I17" s="8"/>
      <c r="J17" s="8"/>
      <c r="K17" s="7" t="s">
        <v>96</v>
      </c>
      <c r="L17" s="5" t="s">
        <v>35</v>
      </c>
      <c r="M17" s="5" t="s">
        <v>38</v>
      </c>
      <c r="N17" s="5" t="s">
        <v>38</v>
      </c>
      <c r="O17" s="7"/>
    </row>
    <row r="18" spans="1:15">
      <c r="A18" s="4" t="s">
        <v>112</v>
      </c>
      <c r="B18" s="5" t="s">
        <v>35</v>
      </c>
      <c r="C18" s="5" t="s">
        <v>35</v>
      </c>
      <c r="D18" s="5" t="s">
        <v>95</v>
      </c>
      <c r="E18" s="5" t="s">
        <v>35</v>
      </c>
      <c r="F18" s="5" t="s">
        <v>35</v>
      </c>
      <c r="G18" s="5" t="s">
        <v>35</v>
      </c>
      <c r="H18" s="6"/>
      <c r="I18" s="8"/>
      <c r="J18" s="8"/>
      <c r="K18" s="7" t="s">
        <v>96</v>
      </c>
      <c r="L18" s="5" t="s">
        <v>35</v>
      </c>
      <c r="M18" s="5" t="s">
        <v>38</v>
      </c>
      <c r="N18" s="5" t="s">
        <v>38</v>
      </c>
      <c r="O18" s="7"/>
    </row>
    <row r="19" spans="1:15">
      <c r="A19" s="4" t="s">
        <v>113</v>
      </c>
      <c r="B19" s="5" t="s">
        <v>35</v>
      </c>
      <c r="C19" s="5" t="s">
        <v>35</v>
      </c>
      <c r="D19" s="5" t="s">
        <v>95</v>
      </c>
      <c r="E19" s="5" t="s">
        <v>35</v>
      </c>
      <c r="F19" s="5" t="s">
        <v>35</v>
      </c>
      <c r="G19" s="5" t="s">
        <v>35</v>
      </c>
      <c r="H19" s="6"/>
      <c r="I19" s="8"/>
      <c r="J19" s="8"/>
      <c r="K19" s="7" t="s">
        <v>96</v>
      </c>
      <c r="L19" s="5" t="s">
        <v>35</v>
      </c>
      <c r="M19" s="5" t="s">
        <v>38</v>
      </c>
      <c r="N19" s="5" t="s">
        <v>38</v>
      </c>
      <c r="O19" s="7"/>
    </row>
    <row r="20" spans="1:15">
      <c r="A20" s="4" t="s">
        <v>114</v>
      </c>
      <c r="B20" s="5" t="s">
        <v>35</v>
      </c>
      <c r="C20" s="5" t="s">
        <v>35</v>
      </c>
      <c r="D20" s="5" t="s">
        <v>95</v>
      </c>
      <c r="E20" s="5" t="s">
        <v>35</v>
      </c>
      <c r="F20" s="5" t="s">
        <v>35</v>
      </c>
      <c r="G20" s="5" t="s">
        <v>35</v>
      </c>
      <c r="H20" s="6"/>
      <c r="I20" s="8"/>
      <c r="J20" s="8"/>
      <c r="K20" s="7" t="s">
        <v>96</v>
      </c>
      <c r="L20" s="5" t="s">
        <v>35</v>
      </c>
      <c r="M20" s="5" t="s">
        <v>38</v>
      </c>
      <c r="N20" s="5" t="s">
        <v>38</v>
      </c>
      <c r="O20" s="7"/>
    </row>
    <row r="21" spans="1:15">
      <c r="A21" s="4" t="s">
        <v>115</v>
      </c>
      <c r="B21" s="5" t="s">
        <v>35</v>
      </c>
      <c r="C21" s="5" t="s">
        <v>35</v>
      </c>
      <c r="D21" s="5" t="s">
        <v>95</v>
      </c>
      <c r="E21" s="5" t="s">
        <v>35</v>
      </c>
      <c r="F21" s="5" t="s">
        <v>35</v>
      </c>
      <c r="G21" s="5" t="s">
        <v>35</v>
      </c>
      <c r="H21" s="6"/>
      <c r="I21" s="8"/>
      <c r="J21" s="8"/>
      <c r="K21" s="7" t="s">
        <v>96</v>
      </c>
      <c r="L21" s="5" t="s">
        <v>35</v>
      </c>
      <c r="M21" s="5" t="s">
        <v>38</v>
      </c>
      <c r="N21" s="5" t="s">
        <v>38</v>
      </c>
      <c r="O21" s="7"/>
    </row>
    <row r="22" spans="1:15">
      <c r="A22" s="4" t="s">
        <v>116</v>
      </c>
      <c r="B22" s="5" t="s">
        <v>35</v>
      </c>
      <c r="C22" s="5" t="s">
        <v>35</v>
      </c>
      <c r="D22" s="5" t="s">
        <v>95</v>
      </c>
      <c r="E22" s="5" t="s">
        <v>35</v>
      </c>
      <c r="F22" s="5" t="s">
        <v>35</v>
      </c>
      <c r="G22" s="5" t="s">
        <v>35</v>
      </c>
      <c r="H22" s="6"/>
      <c r="I22" s="8"/>
      <c r="J22" s="8"/>
      <c r="K22" s="7" t="s">
        <v>96</v>
      </c>
      <c r="L22" s="5" t="s">
        <v>35</v>
      </c>
      <c r="M22" s="5" t="s">
        <v>38</v>
      </c>
      <c r="N22" s="5" t="s">
        <v>38</v>
      </c>
      <c r="O22" s="7"/>
    </row>
    <row r="23" spans="1:15">
      <c r="A23" s="4" t="s">
        <v>117</v>
      </c>
      <c r="B23" s="5" t="s">
        <v>35</v>
      </c>
      <c r="C23" s="5" t="s">
        <v>35</v>
      </c>
      <c r="D23" s="5" t="s">
        <v>95</v>
      </c>
      <c r="E23" s="5" t="s">
        <v>35</v>
      </c>
      <c r="F23" s="5" t="s">
        <v>35</v>
      </c>
      <c r="G23" s="5" t="s">
        <v>35</v>
      </c>
      <c r="H23" s="6"/>
      <c r="I23" s="8"/>
      <c r="J23" s="8"/>
      <c r="K23" s="7" t="s">
        <v>96</v>
      </c>
      <c r="L23" s="5" t="s">
        <v>35</v>
      </c>
      <c r="M23" s="5" t="s">
        <v>38</v>
      </c>
      <c r="N23" s="5" t="s">
        <v>38</v>
      </c>
      <c r="O23" s="7"/>
    </row>
    <row r="24" spans="1:15">
      <c r="A24" s="4" t="s">
        <v>118</v>
      </c>
      <c r="B24" s="5" t="s">
        <v>35</v>
      </c>
      <c r="C24" s="5" t="s">
        <v>35</v>
      </c>
      <c r="D24" s="5" t="s">
        <v>95</v>
      </c>
      <c r="E24" s="5" t="s">
        <v>35</v>
      </c>
      <c r="F24" s="5" t="s">
        <v>35</v>
      </c>
      <c r="G24" s="5" t="s">
        <v>35</v>
      </c>
      <c r="H24" s="6"/>
      <c r="I24" s="8"/>
      <c r="J24" s="8"/>
      <c r="K24" s="7" t="s">
        <v>96</v>
      </c>
      <c r="L24" s="5" t="s">
        <v>35</v>
      </c>
      <c r="M24" s="5" t="s">
        <v>38</v>
      </c>
      <c r="N24" s="5" t="s">
        <v>38</v>
      </c>
      <c r="O24" s="7"/>
    </row>
    <row r="25" spans="1:15">
      <c r="A25" s="4" t="s">
        <v>119</v>
      </c>
      <c r="B25" s="5" t="s">
        <v>35</v>
      </c>
      <c r="C25" s="5" t="s">
        <v>35</v>
      </c>
      <c r="D25" s="5" t="s">
        <v>95</v>
      </c>
      <c r="E25" s="5" t="s">
        <v>35</v>
      </c>
      <c r="F25" s="5" t="s">
        <v>35</v>
      </c>
      <c r="G25" s="5" t="s">
        <v>35</v>
      </c>
      <c r="H25" s="6"/>
      <c r="I25" s="8"/>
      <c r="J25" s="8"/>
      <c r="K25" s="7" t="s">
        <v>96</v>
      </c>
      <c r="L25" s="5" t="s">
        <v>35</v>
      </c>
      <c r="M25" s="5" t="s">
        <v>38</v>
      </c>
      <c r="N25" s="5" t="s">
        <v>38</v>
      </c>
      <c r="O25" s="7"/>
    </row>
    <row r="26" spans="1:15">
      <c r="A26" s="4" t="s">
        <v>120</v>
      </c>
      <c r="B26" s="5" t="s">
        <v>35</v>
      </c>
      <c r="C26" s="5" t="s">
        <v>35</v>
      </c>
      <c r="D26" s="5" t="s">
        <v>95</v>
      </c>
      <c r="E26" s="5" t="s">
        <v>35</v>
      </c>
      <c r="F26" s="5" t="s">
        <v>35</v>
      </c>
      <c r="G26" s="5" t="s">
        <v>35</v>
      </c>
      <c r="H26" s="6"/>
      <c r="I26" s="8"/>
      <c r="J26" s="8"/>
      <c r="K26" s="7" t="s">
        <v>96</v>
      </c>
      <c r="L26" s="5" t="s">
        <v>35</v>
      </c>
      <c r="M26" s="5" t="s">
        <v>38</v>
      </c>
      <c r="N26" s="5" t="s">
        <v>38</v>
      </c>
      <c r="O26" s="7"/>
    </row>
  </sheetData>
  <autoFilter ref="A1:O200"/>
  <dataValidations count="1">
    <dataValidation type="list" allowBlank="1" showInputMessage="1" showErrorMessage="1" sqref="E2:E200">
      <formula1>"UNKNOWN,planned,contracted,paid,cancelled,retired"</formula1>
    </dataValidation>
  </dataValidations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B1F33"/>
    <pageSetUpPr fitToPage="1"/>
  </sheetPr>
  <dimension ref="A1:F12"/>
  <sheetViews>
    <sheetView workbookViewId="0"/>
  </sheetViews>
  <sheetFormatPr defaultRowHeight="15"/>
  <cols>
    <col min="1" max="1" width="12.7109375" customWidth="1"/>
    <col min="2" max="2" width="42.7109375" customWidth="1"/>
    <col min="3" max="5" width="18.7109375" customWidth="1"/>
    <col min="6" max="6" width="65.7109375" customWidth="1"/>
  </cols>
  <sheetData>
    <row r="1" spans="1:6">
      <c r="A1" s="3" t="s">
        <v>19</v>
      </c>
      <c r="B1" s="3" t="s">
        <v>121</v>
      </c>
      <c r="C1" s="3" t="s">
        <v>22</v>
      </c>
      <c r="D1" s="3" t="s">
        <v>23</v>
      </c>
      <c r="E1" s="3" t="s">
        <v>24</v>
      </c>
      <c r="F1" s="3" t="s">
        <v>122</v>
      </c>
    </row>
    <row r="2" spans="1:6">
      <c r="A2" s="4" t="s">
        <v>33</v>
      </c>
      <c r="B2" s="4" t="s">
        <v>123</v>
      </c>
      <c r="C2" s="9" t="str">
        <f>IF(COUNTIFS(Assumptions!$B$2:$B$100,$A2,Assumptions!$D$2:$D$100,"UNKNOWN")&gt;0,"UNKNOWN",SUMIFS(Assumptions!$E$2:$E$100,Assumptions!$B$2:$B$100,$A2))</f>
        <v>UNKNOWN</v>
      </c>
      <c r="D2" s="9" t="str">
        <f>IF(COUNTIFS(Assumptions!$B$2:$B$100,$A2,Assumptions!$D$2:$D$100,"UNKNOWN")&gt;0,"UNKNOWN",SUMIFS(Assumptions!$F$2:$F$100,Assumptions!$B$2:$B$100,$A2))</f>
        <v>UNKNOWN</v>
      </c>
      <c r="E2" s="9" t="str">
        <f>IF(COUNTIFS(Assumptions!$B$2:$B$100,$A2,Assumptions!$D$2:$D$100,"UNKNOWN")&gt;0,"UNKNOWN",SUMIFS(Assumptions!$G$2:$G$100,Assumptions!$B$2:$B$100,$A2))</f>
        <v>UNKNOWN</v>
      </c>
      <c r="F2" s="4" t="s">
        <v>124</v>
      </c>
    </row>
    <row r="3" spans="1:6">
      <c r="A3" s="4" t="s">
        <v>41</v>
      </c>
      <c r="B3" s="4" t="s">
        <v>125</v>
      </c>
      <c r="C3" s="9" t="str">
        <f>IF(COUNTIFS(Assumptions!$B$2:$B$100,$A3,Assumptions!$D$2:$D$100,"UNKNOWN")&gt;0,"UNKNOWN",SUMIFS(Assumptions!$E$2:$E$100,Assumptions!$B$2:$B$100,$A3))</f>
        <v>UNKNOWN</v>
      </c>
      <c r="D3" s="9" t="str">
        <f>IF(COUNTIFS(Assumptions!$B$2:$B$100,$A3,Assumptions!$D$2:$D$100,"UNKNOWN")&gt;0,"UNKNOWN",SUMIFS(Assumptions!$F$2:$F$100,Assumptions!$B$2:$B$100,$A3))</f>
        <v>UNKNOWN</v>
      </c>
      <c r="E3" s="9" t="str">
        <f>IF(COUNTIFS(Assumptions!$B$2:$B$100,$A3,Assumptions!$D$2:$D$100,"UNKNOWN")&gt;0,"UNKNOWN",SUMIFS(Assumptions!$G$2:$G$100,Assumptions!$B$2:$B$100,$A3))</f>
        <v>UNKNOWN</v>
      </c>
      <c r="F3" s="4" t="s">
        <v>124</v>
      </c>
    </row>
    <row r="4" spans="1:6">
      <c r="A4" s="4" t="s">
        <v>44</v>
      </c>
      <c r="B4" s="4" t="s">
        <v>126</v>
      </c>
      <c r="C4" s="9" t="str">
        <f>IF(COUNTIFS(Assumptions!$B$2:$B$100,$A4,Assumptions!$D$2:$D$100,"UNKNOWN")&gt;0,"UNKNOWN",SUMIFS(Assumptions!$E$2:$E$100,Assumptions!$B$2:$B$100,$A4))</f>
        <v>UNKNOWN</v>
      </c>
      <c r="D4" s="9" t="str">
        <f>IF(COUNTIFS(Assumptions!$B$2:$B$100,$A4,Assumptions!$D$2:$D$100,"UNKNOWN")&gt;0,"UNKNOWN",SUMIFS(Assumptions!$F$2:$F$100,Assumptions!$B$2:$B$100,$A4))</f>
        <v>UNKNOWN</v>
      </c>
      <c r="E4" s="9" t="str">
        <f>IF(COUNTIFS(Assumptions!$B$2:$B$100,$A4,Assumptions!$D$2:$D$100,"UNKNOWN")&gt;0,"UNKNOWN",SUMIFS(Assumptions!$G$2:$G$100,Assumptions!$B$2:$B$100,$A4))</f>
        <v>UNKNOWN</v>
      </c>
      <c r="F4" s="4" t="s">
        <v>124</v>
      </c>
    </row>
    <row r="5" spans="1:6">
      <c r="A5" s="4" t="s">
        <v>47</v>
      </c>
      <c r="B5" s="4" t="s">
        <v>127</v>
      </c>
      <c r="C5" s="9" t="str">
        <f>IF(COUNTIFS(Assumptions!$B$2:$B$100,$A5,Assumptions!$D$2:$D$100,"UNKNOWN")&gt;0,"UNKNOWN",SUMIFS(Assumptions!$E$2:$E$100,Assumptions!$B$2:$B$100,$A5))</f>
        <v>UNKNOWN</v>
      </c>
      <c r="D5" s="9" t="str">
        <f>IF(COUNTIFS(Assumptions!$B$2:$B$100,$A5,Assumptions!$D$2:$D$100,"UNKNOWN")&gt;0,"UNKNOWN",SUMIFS(Assumptions!$F$2:$F$100,Assumptions!$B$2:$B$100,$A5))</f>
        <v>UNKNOWN</v>
      </c>
      <c r="E5" s="9" t="str">
        <f>IF(COUNTIFS(Assumptions!$B$2:$B$100,$A5,Assumptions!$D$2:$D$100,"UNKNOWN")&gt;0,"UNKNOWN",SUMIFS(Assumptions!$G$2:$G$100,Assumptions!$B$2:$B$100,$A5))</f>
        <v>UNKNOWN</v>
      </c>
      <c r="F5" s="4" t="s">
        <v>124</v>
      </c>
    </row>
    <row r="6" spans="1:6">
      <c r="A6" s="4" t="s">
        <v>50</v>
      </c>
      <c r="B6" s="4" t="s">
        <v>128</v>
      </c>
      <c r="C6" s="9" t="str">
        <f>IF(COUNTIFS(Assumptions!$B$2:$B$100,$A6,Assumptions!$D$2:$D$100,"UNKNOWN")&gt;0,"UNKNOWN",SUMIFS(Assumptions!$E$2:$E$100,Assumptions!$B$2:$B$100,$A6))</f>
        <v>UNKNOWN</v>
      </c>
      <c r="D6" s="9" t="str">
        <f>IF(COUNTIFS(Assumptions!$B$2:$B$100,$A6,Assumptions!$D$2:$D$100,"UNKNOWN")&gt;0,"UNKNOWN",SUMIFS(Assumptions!$F$2:$F$100,Assumptions!$B$2:$B$100,$A6))</f>
        <v>UNKNOWN</v>
      </c>
      <c r="E6" s="9" t="str">
        <f>IF(COUNTIFS(Assumptions!$B$2:$B$100,$A6,Assumptions!$D$2:$D$100,"UNKNOWN")&gt;0,"UNKNOWN",SUMIFS(Assumptions!$G$2:$G$100,Assumptions!$B$2:$B$100,$A6))</f>
        <v>UNKNOWN</v>
      </c>
      <c r="F6" s="4" t="s">
        <v>124</v>
      </c>
    </row>
    <row r="7" spans="1:6">
      <c r="A7" s="4" t="s">
        <v>53</v>
      </c>
      <c r="B7" s="4" t="s">
        <v>129</v>
      </c>
      <c r="C7" s="9" t="str">
        <f>IF(COUNTIFS(Assumptions!$B$2:$B$100,$A7,Assumptions!$D$2:$D$100,"UNKNOWN")&gt;0,"UNKNOWN",SUMIFS(Assumptions!$E$2:$E$100,Assumptions!$B$2:$B$100,$A7))</f>
        <v>UNKNOWN</v>
      </c>
      <c r="D7" s="9" t="str">
        <f>IF(COUNTIFS(Assumptions!$B$2:$B$100,$A7,Assumptions!$D$2:$D$100,"UNKNOWN")&gt;0,"UNKNOWN",SUMIFS(Assumptions!$F$2:$F$100,Assumptions!$B$2:$B$100,$A7))</f>
        <v>UNKNOWN</v>
      </c>
      <c r="E7" s="9" t="str">
        <f>IF(COUNTIFS(Assumptions!$B$2:$B$100,$A7,Assumptions!$D$2:$D$100,"UNKNOWN")&gt;0,"UNKNOWN",SUMIFS(Assumptions!$G$2:$G$100,Assumptions!$B$2:$B$100,$A7))</f>
        <v>UNKNOWN</v>
      </c>
      <c r="F7" s="4" t="s">
        <v>124</v>
      </c>
    </row>
    <row r="8" spans="1:6">
      <c r="A8" s="4" t="s">
        <v>56</v>
      </c>
      <c r="B8" s="4" t="s">
        <v>130</v>
      </c>
      <c r="C8" s="9" t="str">
        <f>IF(COUNTIFS(Assumptions!$B$2:$B$100,$A8,Assumptions!$D$2:$D$100,"UNKNOWN")&gt;0,"UNKNOWN",SUMIFS(Assumptions!$E$2:$E$100,Assumptions!$B$2:$B$100,$A8))</f>
        <v>UNKNOWN</v>
      </c>
      <c r="D8" s="9" t="str">
        <f>IF(COUNTIFS(Assumptions!$B$2:$B$100,$A8,Assumptions!$D$2:$D$100,"UNKNOWN")&gt;0,"UNKNOWN",SUMIFS(Assumptions!$F$2:$F$100,Assumptions!$B$2:$B$100,$A8))</f>
        <v>UNKNOWN</v>
      </c>
      <c r="E8" s="9" t="str">
        <f>IF(COUNTIFS(Assumptions!$B$2:$B$100,$A8,Assumptions!$D$2:$D$100,"UNKNOWN")&gt;0,"UNKNOWN",SUMIFS(Assumptions!$G$2:$G$100,Assumptions!$B$2:$B$100,$A8))</f>
        <v>UNKNOWN</v>
      </c>
      <c r="F8" s="4" t="s">
        <v>124</v>
      </c>
    </row>
    <row r="9" spans="1:6">
      <c r="A9" s="4" t="s">
        <v>59</v>
      </c>
      <c r="B9" s="4" t="s">
        <v>131</v>
      </c>
      <c r="C9" s="9" t="str">
        <f>IF(COUNTIFS(Assumptions!$B$2:$B$100,$A9,Assumptions!$D$2:$D$100,"UNKNOWN")&gt;0,"UNKNOWN",SUMIFS(Assumptions!$E$2:$E$100,Assumptions!$B$2:$B$100,$A9))</f>
        <v>UNKNOWN</v>
      </c>
      <c r="D9" s="9" t="str">
        <f>IF(COUNTIFS(Assumptions!$B$2:$B$100,$A9,Assumptions!$D$2:$D$100,"UNKNOWN")&gt;0,"UNKNOWN",SUMIFS(Assumptions!$F$2:$F$100,Assumptions!$B$2:$B$100,$A9))</f>
        <v>UNKNOWN</v>
      </c>
      <c r="E9" s="9" t="str">
        <f>IF(COUNTIFS(Assumptions!$B$2:$B$100,$A9,Assumptions!$D$2:$D$100,"UNKNOWN")&gt;0,"UNKNOWN",SUMIFS(Assumptions!$G$2:$G$100,Assumptions!$B$2:$B$100,$A9))</f>
        <v>UNKNOWN</v>
      </c>
      <c r="F9" s="4" t="s">
        <v>124</v>
      </c>
    </row>
    <row r="10" spans="1:6">
      <c r="A10" s="4" t="s">
        <v>62</v>
      </c>
      <c r="B10" s="4" t="s">
        <v>132</v>
      </c>
      <c r="C10" s="9" t="str">
        <f>IF(COUNTIFS(Assumptions!$B$2:$B$100,$A10,Assumptions!$D$2:$D$100,"UNKNOWN")&gt;0,"UNKNOWN",SUMIFS(Assumptions!$E$2:$E$100,Assumptions!$B$2:$B$100,$A10))</f>
        <v>UNKNOWN</v>
      </c>
      <c r="D10" s="9" t="str">
        <f>IF(COUNTIFS(Assumptions!$B$2:$B$100,$A10,Assumptions!$D$2:$D$100,"UNKNOWN")&gt;0,"UNKNOWN",SUMIFS(Assumptions!$F$2:$F$100,Assumptions!$B$2:$B$100,$A10))</f>
        <v>UNKNOWN</v>
      </c>
      <c r="E10" s="9" t="str">
        <f>IF(COUNTIFS(Assumptions!$B$2:$B$100,$A10,Assumptions!$D$2:$D$100,"UNKNOWN")&gt;0,"UNKNOWN",SUMIFS(Assumptions!$G$2:$G$100,Assumptions!$B$2:$B$100,$A10))</f>
        <v>UNKNOWN</v>
      </c>
      <c r="F10" s="4" t="s">
        <v>124</v>
      </c>
    </row>
    <row r="11" spans="1:6">
      <c r="A11" s="4" t="s">
        <v>65</v>
      </c>
      <c r="B11" s="4" t="s">
        <v>133</v>
      </c>
      <c r="C11" s="9" t="str">
        <f>IF(COUNTIFS(Assumptions!$B$2:$B$100,$A11,Assumptions!$D$2:$D$100,"UNKNOWN")&gt;0,"UNKNOWN",SUMIFS(Assumptions!$E$2:$E$100,Assumptions!$B$2:$B$100,$A11))</f>
        <v>UNKNOWN</v>
      </c>
      <c r="D11" s="9" t="str">
        <f>IF(COUNTIFS(Assumptions!$B$2:$B$100,$A11,Assumptions!$D$2:$D$100,"UNKNOWN")&gt;0,"UNKNOWN",SUMIFS(Assumptions!$F$2:$F$100,Assumptions!$B$2:$B$100,$A11))</f>
        <v>UNKNOWN</v>
      </c>
      <c r="E11" s="9" t="str">
        <f>IF(COUNTIFS(Assumptions!$B$2:$B$100,$A11,Assumptions!$D$2:$D$100,"UNKNOWN")&gt;0,"UNKNOWN",SUMIFS(Assumptions!$G$2:$G$100,Assumptions!$B$2:$B$100,$A11))</f>
        <v>UNKNOWN</v>
      </c>
      <c r="F11" s="4" t="s">
        <v>124</v>
      </c>
    </row>
    <row r="12" spans="1:6">
      <c r="A12" s="3" t="s">
        <v>134</v>
      </c>
      <c r="B12" s="3" t="s">
        <v>135</v>
      </c>
      <c r="C12" s="10" t="str">
        <f>IF(COUNTIF(C2:C11,"UNKNOWN")&gt;0,"UNKNOWN",SUM(C2:C11))</f>
        <v>UNKNOWN</v>
      </c>
      <c r="D12" s="10" t="str">
        <f>IF(COUNTIF(D2:D11,"UNKNOWN")&gt;0,"UNKNOWN",SUM(D2:D11))</f>
        <v>UNKNOWN</v>
      </c>
      <c r="E12" s="10" t="str">
        <f>IF(COUNTIF(E2:E11,"UNKNOWN")&gt;0,"UNKNOWN",SUM(E2:E11))</f>
        <v>UNKNOWN</v>
      </c>
      <c r="F12" s="3" t="s">
        <v>136</v>
      </c>
    </row>
  </sheetData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94F7A"/>
    <pageSetUpPr fitToPage="1"/>
  </sheetPr>
  <dimension ref="A1:H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3" width="26.7109375" customWidth="1"/>
    <col min="4" max="4" width="18.7109375" customWidth="1"/>
    <col min="5" max="5" width="24.7109375" customWidth="1"/>
    <col min="6" max="6" width="22.7109375" customWidth="1"/>
    <col min="7" max="7" width="20.7109375" customWidth="1"/>
    <col min="8" max="8" width="48.7109375" customWidth="1"/>
  </cols>
  <sheetData>
    <row r="1" spans="1:8">
      <c r="A1" s="3" t="s">
        <v>84</v>
      </c>
      <c r="B1" s="3" t="s">
        <v>137</v>
      </c>
      <c r="C1" s="3" t="s">
        <v>138</v>
      </c>
      <c r="D1" s="3" t="s">
        <v>139</v>
      </c>
      <c r="E1" s="3" t="s">
        <v>140</v>
      </c>
      <c r="F1" s="3" t="s">
        <v>14</v>
      </c>
      <c r="G1" s="3" t="s">
        <v>27</v>
      </c>
      <c r="H1" s="3" t="s">
        <v>141</v>
      </c>
    </row>
    <row r="2" spans="1:8">
      <c r="A2" s="4" t="s">
        <v>142</v>
      </c>
      <c r="B2" s="4" t="s">
        <v>143</v>
      </c>
      <c r="C2" s="4" t="s">
        <v>144</v>
      </c>
      <c r="D2" s="5" t="s">
        <v>145</v>
      </c>
      <c r="E2" s="4" t="s">
        <v>146</v>
      </c>
      <c r="F2" s="4" t="s">
        <v>147</v>
      </c>
      <c r="G2" s="5" t="s">
        <v>35</v>
      </c>
      <c r="H2" s="4" t="s">
        <v>148</v>
      </c>
    </row>
    <row r="3" spans="1:8">
      <c r="A3" s="4" t="s">
        <v>149</v>
      </c>
      <c r="B3" s="4" t="s">
        <v>150</v>
      </c>
      <c r="C3" s="4" t="s">
        <v>151</v>
      </c>
      <c r="D3" s="4" t="s">
        <v>152</v>
      </c>
      <c r="E3" s="5" t="s">
        <v>153</v>
      </c>
      <c r="F3" s="4" t="s">
        <v>147</v>
      </c>
      <c r="G3" s="4" t="s">
        <v>154</v>
      </c>
      <c r="H3" s="4" t="s">
        <v>155</v>
      </c>
    </row>
    <row r="4" spans="1:8">
      <c r="A4" s="4" t="s">
        <v>156</v>
      </c>
      <c r="B4" s="4" t="s">
        <v>157</v>
      </c>
      <c r="C4" s="4" t="s">
        <v>158</v>
      </c>
      <c r="D4" s="4" t="s">
        <v>159</v>
      </c>
      <c r="E4" s="4" t="s">
        <v>160</v>
      </c>
      <c r="F4" s="4" t="s">
        <v>147</v>
      </c>
      <c r="G4" s="5" t="s">
        <v>35</v>
      </c>
      <c r="H4" s="4" t="s">
        <v>161</v>
      </c>
    </row>
    <row r="5" spans="1:8">
      <c r="A5" s="4" t="s">
        <v>162</v>
      </c>
      <c r="B5" s="4" t="s">
        <v>163</v>
      </c>
      <c r="C5" s="4" t="s">
        <v>164</v>
      </c>
      <c r="D5" s="5" t="s">
        <v>153</v>
      </c>
      <c r="E5" s="4" t="s">
        <v>165</v>
      </c>
      <c r="F5" s="4" t="s">
        <v>166</v>
      </c>
      <c r="G5" s="5" t="s">
        <v>35</v>
      </c>
      <c r="H5" s="4" t="s">
        <v>167</v>
      </c>
    </row>
    <row r="6" spans="1:8">
      <c r="A6" s="4" t="s">
        <v>168</v>
      </c>
      <c r="B6" s="4" t="s">
        <v>169</v>
      </c>
      <c r="C6" s="4" t="s">
        <v>170</v>
      </c>
      <c r="D6" s="5" t="s">
        <v>153</v>
      </c>
      <c r="E6" s="4" t="s">
        <v>165</v>
      </c>
      <c r="F6" s="4" t="s">
        <v>147</v>
      </c>
      <c r="G6" s="5" t="s">
        <v>35</v>
      </c>
      <c r="H6" s="4" t="s">
        <v>171</v>
      </c>
    </row>
    <row r="7" spans="1:8">
      <c r="A7" s="4" t="s">
        <v>172</v>
      </c>
      <c r="B7" s="4" t="s">
        <v>173</v>
      </c>
      <c r="C7" s="4" t="s">
        <v>174</v>
      </c>
      <c r="D7" s="5" t="s">
        <v>145</v>
      </c>
      <c r="E7" s="4" t="s">
        <v>165</v>
      </c>
      <c r="F7" s="4" t="s">
        <v>166</v>
      </c>
      <c r="G7" s="5" t="s">
        <v>35</v>
      </c>
      <c r="H7" s="4" t="s">
        <v>175</v>
      </c>
    </row>
    <row r="8" spans="1:8">
      <c r="A8" s="4" t="s">
        <v>176</v>
      </c>
      <c r="B8" s="4" t="s">
        <v>177</v>
      </c>
      <c r="C8" s="4" t="s">
        <v>178</v>
      </c>
      <c r="D8" s="5" t="s">
        <v>145</v>
      </c>
      <c r="E8" s="4" t="s">
        <v>165</v>
      </c>
      <c r="F8" s="4" t="s">
        <v>147</v>
      </c>
      <c r="G8" s="5" t="s">
        <v>35</v>
      </c>
      <c r="H8" s="4" t="s">
        <v>179</v>
      </c>
    </row>
    <row r="9" spans="1:8">
      <c r="A9" s="4" t="s">
        <v>180</v>
      </c>
      <c r="B9" s="4" t="s">
        <v>181</v>
      </c>
      <c r="C9" s="4" t="s">
        <v>182</v>
      </c>
      <c r="D9" s="4" t="s">
        <v>183</v>
      </c>
      <c r="E9" s="4" t="s">
        <v>184</v>
      </c>
      <c r="F9" s="4" t="s">
        <v>185</v>
      </c>
      <c r="G9" s="5" t="s">
        <v>35</v>
      </c>
      <c r="H9" s="4" t="s">
        <v>186</v>
      </c>
    </row>
  </sheetData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C7A24A"/>
    <pageSetUpPr fitToPage="1"/>
  </sheetPr>
  <dimension ref="A1:G8"/>
  <sheetViews>
    <sheetView workbookViewId="0"/>
  </sheetViews>
  <sheetFormatPr defaultRowHeight="15"/>
  <cols>
    <col min="1" max="1" width="14.7109375" customWidth="1"/>
    <col min="2" max="2" width="34.7109375" customWidth="1"/>
    <col min="3" max="3" width="40.7109375" customWidth="1"/>
    <col min="4" max="5" width="24.7109375" customWidth="1"/>
    <col min="6" max="6" width="22.7109375" customWidth="1"/>
    <col min="7" max="7" width="46.7109375" customWidth="1"/>
  </cols>
  <sheetData>
    <row r="1" spans="1:7">
      <c r="A1" s="3" t="s">
        <v>18</v>
      </c>
      <c r="B1" s="3" t="s">
        <v>187</v>
      </c>
      <c r="C1" s="3" t="s">
        <v>188</v>
      </c>
      <c r="D1" s="3" t="s">
        <v>189</v>
      </c>
      <c r="E1" s="3" t="s">
        <v>190</v>
      </c>
      <c r="F1" s="3" t="s">
        <v>191</v>
      </c>
      <c r="G1" s="3" t="s">
        <v>192</v>
      </c>
    </row>
    <row r="2" spans="1:7">
      <c r="A2" s="4" t="s">
        <v>193</v>
      </c>
      <c r="B2" s="4" t="s">
        <v>194</v>
      </c>
      <c r="C2" s="4" t="s">
        <v>195</v>
      </c>
      <c r="D2" s="5" t="s">
        <v>35</v>
      </c>
      <c r="E2" s="4" t="s">
        <v>196</v>
      </c>
      <c r="F2" s="5" t="s">
        <v>35</v>
      </c>
      <c r="G2" s="5" t="s">
        <v>197</v>
      </c>
    </row>
    <row r="3" spans="1:7">
      <c r="A3" s="4" t="s">
        <v>198</v>
      </c>
      <c r="B3" s="4" t="s">
        <v>199</v>
      </c>
      <c r="C3" s="4" t="s">
        <v>200</v>
      </c>
      <c r="D3" s="5" t="s">
        <v>35</v>
      </c>
      <c r="E3" s="4" t="s">
        <v>201</v>
      </c>
      <c r="F3" s="5" t="s">
        <v>35</v>
      </c>
      <c r="G3" s="5" t="s">
        <v>197</v>
      </c>
    </row>
    <row r="4" spans="1:7">
      <c r="A4" s="4" t="s">
        <v>202</v>
      </c>
      <c r="B4" s="4" t="s">
        <v>203</v>
      </c>
      <c r="C4" s="4" t="s">
        <v>204</v>
      </c>
      <c r="D4" s="5" t="s">
        <v>35</v>
      </c>
      <c r="E4" s="4" t="s">
        <v>205</v>
      </c>
      <c r="F4" s="5" t="s">
        <v>35</v>
      </c>
      <c r="G4" s="5" t="s">
        <v>197</v>
      </c>
    </row>
    <row r="5" spans="1:7">
      <c r="A5" s="4" t="s">
        <v>206</v>
      </c>
      <c r="B5" s="4" t="s">
        <v>207</v>
      </c>
      <c r="C5" s="4" t="s">
        <v>208</v>
      </c>
      <c r="D5" s="5" t="s">
        <v>35</v>
      </c>
      <c r="E5" s="4" t="s">
        <v>209</v>
      </c>
      <c r="F5" s="5" t="s">
        <v>35</v>
      </c>
      <c r="G5" s="5" t="s">
        <v>197</v>
      </c>
    </row>
    <row r="6" spans="1:7">
      <c r="A6" s="4" t="s">
        <v>210</v>
      </c>
      <c r="B6" s="4" t="s">
        <v>211</v>
      </c>
      <c r="C6" s="4" t="s">
        <v>212</v>
      </c>
      <c r="D6" s="5" t="s">
        <v>35</v>
      </c>
      <c r="E6" s="4" t="s">
        <v>213</v>
      </c>
      <c r="F6" s="5" t="s">
        <v>35</v>
      </c>
      <c r="G6" s="5" t="s">
        <v>197</v>
      </c>
    </row>
    <row r="7" spans="1:7">
      <c r="A7" s="4" t="s">
        <v>214</v>
      </c>
      <c r="B7" s="4" t="s">
        <v>215</v>
      </c>
      <c r="C7" s="4" t="s">
        <v>216</v>
      </c>
      <c r="D7" s="5" t="s">
        <v>35</v>
      </c>
      <c r="E7" s="4" t="s">
        <v>217</v>
      </c>
      <c r="F7" s="5" t="s">
        <v>35</v>
      </c>
      <c r="G7" s="5" t="s">
        <v>197</v>
      </c>
    </row>
    <row r="8" spans="1:7">
      <c r="A8" s="4" t="s">
        <v>218</v>
      </c>
      <c r="B8" s="4" t="s">
        <v>219</v>
      </c>
      <c r="C8" s="4" t="s">
        <v>220</v>
      </c>
      <c r="D8" s="5" t="s">
        <v>35</v>
      </c>
      <c r="E8" s="4" t="s">
        <v>221</v>
      </c>
      <c r="F8" s="5" t="s">
        <v>35</v>
      </c>
      <c r="G8" s="5" t="s">
        <v>197</v>
      </c>
    </row>
  </sheetData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7333E"/>
    <pageSetUpPr fitToPage="1"/>
  </sheetPr>
  <dimension ref="A1:H11"/>
  <sheetViews>
    <sheetView workbookViewId="0"/>
  </sheetViews>
  <sheetFormatPr defaultRowHeight="15"/>
  <cols>
    <col min="1" max="1" width="14.7109375" customWidth="1"/>
    <col min="2" max="2" width="40.7109375" customWidth="1"/>
    <col min="3" max="6" width="18.7109375" customWidth="1"/>
    <col min="7" max="7" width="24.7109375" customWidth="1"/>
    <col min="8" max="8" width="46.7109375" customWidth="1"/>
  </cols>
  <sheetData>
    <row r="1" spans="1:8">
      <c r="A1" s="3" t="s">
        <v>18</v>
      </c>
      <c r="B1" s="3" t="s">
        <v>222</v>
      </c>
      <c r="C1" s="3" t="s">
        <v>223</v>
      </c>
      <c r="D1" s="3" t="s">
        <v>224</v>
      </c>
      <c r="E1" s="3" t="s">
        <v>225</v>
      </c>
      <c r="F1" s="3" t="s">
        <v>25</v>
      </c>
      <c r="G1" s="3" t="s">
        <v>226</v>
      </c>
      <c r="H1" s="3" t="s">
        <v>227</v>
      </c>
    </row>
    <row r="2" spans="1:8">
      <c r="A2" s="4" t="s">
        <v>228</v>
      </c>
      <c r="B2" s="4" t="s">
        <v>229</v>
      </c>
      <c r="C2" s="6"/>
      <c r="D2" s="6"/>
      <c r="E2" s="6"/>
      <c r="F2" s="4" t="s">
        <v>230</v>
      </c>
      <c r="G2" s="5" t="s">
        <v>38</v>
      </c>
      <c r="H2" s="5" t="s">
        <v>231</v>
      </c>
    </row>
    <row r="3" spans="1:8">
      <c r="A3" s="4" t="s">
        <v>232</v>
      </c>
      <c r="B3" s="4" t="s">
        <v>233</v>
      </c>
      <c r="C3" s="6"/>
      <c r="D3" s="6"/>
      <c r="E3" s="6"/>
      <c r="F3" s="4" t="s">
        <v>234</v>
      </c>
      <c r="G3" s="5" t="s">
        <v>38</v>
      </c>
      <c r="H3" s="5" t="s">
        <v>231</v>
      </c>
    </row>
    <row r="4" spans="1:8">
      <c r="A4" s="4" t="s">
        <v>235</v>
      </c>
      <c r="B4" s="4" t="s">
        <v>236</v>
      </c>
      <c r="C4" s="6"/>
      <c r="D4" s="6"/>
      <c r="E4" s="6"/>
      <c r="F4" s="4" t="s">
        <v>230</v>
      </c>
      <c r="G4" s="5" t="s">
        <v>38</v>
      </c>
      <c r="H4" s="5" t="s">
        <v>231</v>
      </c>
    </row>
    <row r="5" spans="1:8">
      <c r="A5" s="4" t="s">
        <v>237</v>
      </c>
      <c r="B5" s="4" t="s">
        <v>238</v>
      </c>
      <c r="C5" s="6"/>
      <c r="D5" s="6"/>
      <c r="E5" s="6"/>
      <c r="F5" s="4" t="s">
        <v>230</v>
      </c>
      <c r="G5" s="5" t="s">
        <v>38</v>
      </c>
      <c r="H5" s="5" t="s">
        <v>231</v>
      </c>
    </row>
    <row r="6" spans="1:8">
      <c r="A6" s="4" t="s">
        <v>239</v>
      </c>
      <c r="B6" s="4" t="s">
        <v>240</v>
      </c>
      <c r="C6" s="6"/>
      <c r="D6" s="6"/>
      <c r="E6" s="6"/>
      <c r="F6" s="4" t="s">
        <v>241</v>
      </c>
      <c r="G6" s="5" t="s">
        <v>38</v>
      </c>
      <c r="H6" s="5" t="s">
        <v>231</v>
      </c>
    </row>
    <row r="7" spans="1:8">
      <c r="A7" s="4" t="s">
        <v>242</v>
      </c>
      <c r="B7" s="4" t="s">
        <v>243</v>
      </c>
      <c r="C7" s="6"/>
      <c r="D7" s="6"/>
      <c r="E7" s="6"/>
      <c r="F7" s="4" t="s">
        <v>36</v>
      </c>
      <c r="G7" s="5" t="s">
        <v>38</v>
      </c>
      <c r="H7" s="5" t="s">
        <v>231</v>
      </c>
    </row>
    <row r="8" spans="1:8">
      <c r="A8" s="4" t="s">
        <v>244</v>
      </c>
      <c r="B8" s="4" t="s">
        <v>245</v>
      </c>
      <c r="C8" s="6"/>
      <c r="D8" s="6"/>
      <c r="E8" s="6"/>
      <c r="F8" s="4" t="s">
        <v>230</v>
      </c>
      <c r="G8" s="5" t="s">
        <v>38</v>
      </c>
      <c r="H8" s="5" t="s">
        <v>231</v>
      </c>
    </row>
    <row r="9" spans="1:8">
      <c r="A9" s="4" t="s">
        <v>246</v>
      </c>
      <c r="B9" s="4" t="s">
        <v>247</v>
      </c>
      <c r="C9" s="6"/>
      <c r="D9" s="6"/>
      <c r="E9" s="6"/>
      <c r="F9" s="4" t="s">
        <v>234</v>
      </c>
      <c r="G9" s="5" t="s">
        <v>38</v>
      </c>
      <c r="H9" s="5" t="s">
        <v>231</v>
      </c>
    </row>
    <row r="10" spans="1:8">
      <c r="A10" s="4" t="s">
        <v>248</v>
      </c>
      <c r="B10" s="4" t="s">
        <v>249</v>
      </c>
      <c r="C10" s="6"/>
      <c r="D10" s="6"/>
      <c r="E10" s="6"/>
      <c r="F10" s="4" t="s">
        <v>230</v>
      </c>
      <c r="G10" s="5" t="s">
        <v>38</v>
      </c>
      <c r="H10" s="5" t="s">
        <v>231</v>
      </c>
    </row>
    <row r="11" spans="1:8">
      <c r="A11" s="4" t="s">
        <v>250</v>
      </c>
      <c r="B11" s="4" t="s">
        <v>251</v>
      </c>
      <c r="C11" s="6"/>
      <c r="D11" s="6"/>
      <c r="E11" s="6"/>
      <c r="F11" s="4" t="s">
        <v>252</v>
      </c>
      <c r="G11" s="5" t="s">
        <v>38</v>
      </c>
      <c r="H11" s="5" t="s">
        <v>231</v>
      </c>
    </row>
  </sheetData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B1F33"/>
    <pageSetUpPr fitToPage="1"/>
  </sheetPr>
  <dimension ref="A1:I11"/>
  <sheetViews>
    <sheetView workbookViewId="0"/>
  </sheetViews>
  <sheetFormatPr defaultRowHeight="15"/>
  <cols>
    <col min="1" max="1" width="14.7109375" customWidth="1"/>
    <col min="2" max="2" width="30.7109375" customWidth="1"/>
    <col min="3" max="3" width="46.7109375" customWidth="1"/>
    <col min="4" max="4" width="22.7109375" customWidth="1"/>
    <col min="5" max="6" width="18.7109375" customWidth="1"/>
    <col min="7" max="7" width="24.7109375" customWidth="1"/>
    <col min="8" max="8" width="22.7109375" customWidth="1"/>
    <col min="9" max="9" width="38.7109375" customWidth="1"/>
  </cols>
  <sheetData>
    <row r="1" spans="1:9">
      <c r="A1" s="3" t="s">
        <v>18</v>
      </c>
      <c r="B1" s="3" t="s">
        <v>253</v>
      </c>
      <c r="C1" s="3" t="s">
        <v>254</v>
      </c>
      <c r="D1" s="3" t="s">
        <v>255</v>
      </c>
      <c r="E1" s="3" t="s">
        <v>256</v>
      </c>
      <c r="F1" s="3" t="s">
        <v>25</v>
      </c>
      <c r="G1" s="3" t="s">
        <v>28</v>
      </c>
      <c r="H1" s="3" t="s">
        <v>191</v>
      </c>
      <c r="I1" s="3" t="s">
        <v>257</v>
      </c>
    </row>
    <row r="2" spans="1:9">
      <c r="A2" s="4" t="s">
        <v>258</v>
      </c>
      <c r="B2" s="4" t="s">
        <v>259</v>
      </c>
      <c r="C2" s="4" t="s">
        <v>260</v>
      </c>
      <c r="D2" s="5" t="s">
        <v>35</v>
      </c>
      <c r="E2" s="5" t="s">
        <v>35</v>
      </c>
      <c r="F2" s="4" t="s">
        <v>261</v>
      </c>
      <c r="G2" s="5" t="s">
        <v>37</v>
      </c>
      <c r="H2" s="5" t="s">
        <v>35</v>
      </c>
      <c r="I2" s="5" t="s">
        <v>262</v>
      </c>
    </row>
    <row r="3" spans="1:9">
      <c r="A3" s="4" t="s">
        <v>263</v>
      </c>
      <c r="B3" s="4" t="s">
        <v>264</v>
      </c>
      <c r="C3" s="4" t="s">
        <v>265</v>
      </c>
      <c r="D3" s="5" t="s">
        <v>35</v>
      </c>
      <c r="E3" s="5" t="s">
        <v>35</v>
      </c>
      <c r="F3" s="4" t="s">
        <v>261</v>
      </c>
      <c r="G3" s="5" t="s">
        <v>37</v>
      </c>
      <c r="H3" s="5" t="s">
        <v>35</v>
      </c>
      <c r="I3" s="5" t="s">
        <v>262</v>
      </c>
    </row>
    <row r="4" spans="1:9">
      <c r="A4" s="4" t="s">
        <v>266</v>
      </c>
      <c r="B4" s="4" t="s">
        <v>267</v>
      </c>
      <c r="C4" s="4" t="s">
        <v>268</v>
      </c>
      <c r="D4" s="5" t="s">
        <v>35</v>
      </c>
      <c r="E4" s="5" t="s">
        <v>35</v>
      </c>
      <c r="F4" s="4" t="s">
        <v>230</v>
      </c>
      <c r="G4" s="5" t="s">
        <v>37</v>
      </c>
      <c r="H4" s="5" t="s">
        <v>35</v>
      </c>
      <c r="I4" s="5" t="s">
        <v>262</v>
      </c>
    </row>
    <row r="5" spans="1:9">
      <c r="A5" s="4" t="s">
        <v>269</v>
      </c>
      <c r="B5" s="4" t="s">
        <v>270</v>
      </c>
      <c r="C5" s="4" t="s">
        <v>271</v>
      </c>
      <c r="D5" s="5" t="s">
        <v>35</v>
      </c>
      <c r="E5" s="5" t="s">
        <v>35</v>
      </c>
      <c r="F5" s="4" t="s">
        <v>230</v>
      </c>
      <c r="G5" s="5" t="s">
        <v>37</v>
      </c>
      <c r="H5" s="5" t="s">
        <v>35</v>
      </c>
      <c r="I5" s="5" t="s">
        <v>262</v>
      </c>
    </row>
    <row r="6" spans="1:9">
      <c r="A6" s="4" t="s">
        <v>272</v>
      </c>
      <c r="B6" s="4" t="s">
        <v>273</v>
      </c>
      <c r="C6" s="4" t="s">
        <v>274</v>
      </c>
      <c r="D6" s="5" t="s">
        <v>35</v>
      </c>
      <c r="E6" s="5" t="s">
        <v>35</v>
      </c>
      <c r="F6" s="4" t="s">
        <v>230</v>
      </c>
      <c r="G6" s="5" t="s">
        <v>37</v>
      </c>
      <c r="H6" s="5" t="s">
        <v>35</v>
      </c>
      <c r="I6" s="5" t="s">
        <v>262</v>
      </c>
    </row>
    <row r="7" spans="1:9">
      <c r="A7" s="4" t="s">
        <v>275</v>
      </c>
      <c r="B7" s="4" t="s">
        <v>276</v>
      </c>
      <c r="C7" s="4" t="s">
        <v>277</v>
      </c>
      <c r="D7" s="5" t="s">
        <v>35</v>
      </c>
      <c r="E7" s="5" t="s">
        <v>35</v>
      </c>
      <c r="F7" s="4" t="s">
        <v>278</v>
      </c>
      <c r="G7" s="5" t="s">
        <v>37</v>
      </c>
      <c r="H7" s="5" t="s">
        <v>35</v>
      </c>
      <c r="I7" s="5" t="s">
        <v>262</v>
      </c>
    </row>
    <row r="8" spans="1:9">
      <c r="A8" s="4" t="s">
        <v>279</v>
      </c>
      <c r="B8" s="4" t="s">
        <v>280</v>
      </c>
      <c r="C8" s="4" t="s">
        <v>281</v>
      </c>
      <c r="D8" s="5" t="s">
        <v>35</v>
      </c>
      <c r="E8" s="5" t="s">
        <v>35</v>
      </c>
      <c r="F8" s="4" t="s">
        <v>230</v>
      </c>
      <c r="G8" s="5" t="s">
        <v>37</v>
      </c>
      <c r="H8" s="5" t="s">
        <v>35</v>
      </c>
      <c r="I8" s="5" t="s">
        <v>262</v>
      </c>
    </row>
    <row r="9" spans="1:9">
      <c r="A9" s="4" t="s">
        <v>282</v>
      </c>
      <c r="B9" s="4" t="s">
        <v>283</v>
      </c>
      <c r="C9" s="4" t="s">
        <v>284</v>
      </c>
      <c r="D9" s="5" t="s">
        <v>35</v>
      </c>
      <c r="E9" s="5" t="s">
        <v>35</v>
      </c>
      <c r="F9" s="4" t="s">
        <v>205</v>
      </c>
      <c r="G9" s="5" t="s">
        <v>37</v>
      </c>
      <c r="H9" s="5" t="s">
        <v>35</v>
      </c>
      <c r="I9" s="5" t="s">
        <v>262</v>
      </c>
    </row>
    <row r="10" spans="1:9">
      <c r="A10" s="4" t="s">
        <v>285</v>
      </c>
      <c r="B10" s="4" t="s">
        <v>286</v>
      </c>
      <c r="C10" s="4" t="s">
        <v>287</v>
      </c>
      <c r="D10" s="5" t="s">
        <v>35</v>
      </c>
      <c r="E10" s="5" t="s">
        <v>35</v>
      </c>
      <c r="F10" s="4" t="s">
        <v>230</v>
      </c>
      <c r="G10" s="5" t="s">
        <v>37</v>
      </c>
      <c r="H10" s="5" t="s">
        <v>35</v>
      </c>
      <c r="I10" s="5" t="s">
        <v>262</v>
      </c>
    </row>
    <row r="11" spans="1:9">
      <c r="A11" s="4" t="s">
        <v>288</v>
      </c>
      <c r="B11" s="4" t="s">
        <v>289</v>
      </c>
      <c r="C11" s="4" t="s">
        <v>290</v>
      </c>
      <c r="D11" s="5" t="s">
        <v>35</v>
      </c>
      <c r="E11" s="5" t="s">
        <v>35</v>
      </c>
      <c r="F11" s="4" t="s">
        <v>36</v>
      </c>
      <c r="G11" s="5" t="s">
        <v>37</v>
      </c>
      <c r="H11" s="5" t="s">
        <v>35</v>
      </c>
      <c r="I11" s="5" t="s">
        <v>262</v>
      </c>
    </row>
  </sheetData>
  <pageMargins left="0.25" right="0.25" top="0.45" bottom="0.45" header="0.3" footer="0.3"/>
  <pageSetup fitToHeight="0" orientation="landscape"/>
  <headerFooter>
    <oddFooter>&amp;LPolska 2040 — draft v0.1&amp;C&amp;P / &amp;N&amp;R&amp;F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Assumptions</vt:lpstr>
      <vt:lpstr>Commitments</vt:lpstr>
      <vt:lpstr>Cost model</vt:lpstr>
      <vt:lpstr>Funding map</vt:lpstr>
      <vt:lpstr>Impact logic</vt:lpstr>
      <vt:lpstr>Sensitivity</vt:lpstr>
      <vt:lpstr>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Polska 2040 — model finansowania i wpływu v0.1</dc:title>
  <dc:subject>Audytowalny model scenariuszowy L/B/H</dc:subject>
  <dc:creator>Polska 2040 — niezależny draft ekspercki</dc:creator>
  <dc:description>Brak danych pozostaje UNKNOWN; dokument nie jest prognozą budżetową.</dc:description>
  <cp:lastModifiedBy>Polska 2040 — niezależny draft ekspercki</cp:lastModifiedBy>
  <dcterms:created xsi:type="dcterms:W3CDTF">2026-07-21T12:42:48Z</dcterms:created>
  <dcterms:modified xsi:type="dcterms:W3CDTF">2026-07-21T12:42:48Z</dcterms:modified>
</cp:coreProperties>
</file>